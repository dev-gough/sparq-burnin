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Kulin\Documents\ZigBee\Burnin Fails\Failure Categorization\"/>
    </mc:Choice>
  </mc:AlternateContent>
  <xr:revisionPtr revIDLastSave="0" documentId="13_ncr:1_{5F5E7381-9169-45F7-BDFD-176E589BF708}" xr6:coauthVersionLast="47" xr6:coauthVersionMax="47" xr10:uidLastSave="{00000000-0000-0000-0000-000000000000}"/>
  <bookViews>
    <workbookView xWindow="19090" yWindow="-10910" windowWidth="38620" windowHeight="21100" activeTab="1" xr2:uid="{74C2FEE2-AFFF-4546-8006-DF9F52E84AEA}"/>
  </bookViews>
  <sheets>
    <sheet name="Plots" sheetId="2" r:id="rId1"/>
    <sheet name="Failures" sheetId="1" r:id="rId2"/>
    <sheet name="failure_mode_incidence_counts" sheetId="3" r:id="rId3"/>
    <sheet name="failure_mode_percentag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4" l="1"/>
  <c r="B10" i="3"/>
  <c r="B9" i="3"/>
  <c r="B9" i="4" s="1"/>
  <c r="B8" i="4"/>
  <c r="B8" i="3"/>
  <c r="C5" i="3"/>
  <c r="D5" i="3"/>
  <c r="E5" i="3"/>
  <c r="F5" i="3"/>
  <c r="G5" i="3"/>
  <c r="H5" i="3"/>
  <c r="I5" i="3"/>
  <c r="J5" i="3"/>
  <c r="B5" i="3"/>
  <c r="C3" i="4"/>
  <c r="D3" i="4"/>
  <c r="E3" i="4"/>
  <c r="F3" i="4"/>
  <c r="G3" i="4"/>
  <c r="H3" i="4"/>
  <c r="I3" i="4"/>
  <c r="J3" i="4"/>
  <c r="C4" i="4"/>
  <c r="D4" i="4"/>
  <c r="E4" i="4"/>
  <c r="F4" i="4"/>
  <c r="G4" i="4"/>
  <c r="H4" i="4"/>
  <c r="I4" i="4"/>
  <c r="J4" i="4"/>
  <c r="C2" i="4"/>
  <c r="D2" i="4"/>
  <c r="E2" i="4"/>
  <c r="F2" i="4"/>
  <c r="G2" i="4"/>
  <c r="H2" i="4"/>
  <c r="I2" i="4"/>
  <c r="J2" i="4"/>
  <c r="B3" i="4"/>
  <c r="B4" i="4"/>
  <c r="B2" i="4"/>
</calcChain>
</file>

<file path=xl/sharedStrings.xml><?xml version="1.0" encoding="utf-8"?>
<sst xmlns="http://schemas.openxmlformats.org/spreadsheetml/2006/main" count="682" uniqueCount="155">
  <si>
    <t>Serial Number</t>
  </si>
  <si>
    <t>Failure Category</t>
  </si>
  <si>
    <t>Additional Information</t>
  </si>
  <si>
    <t>Failure Date</t>
  </si>
  <si>
    <t>Channel Undervoltage During Aging</t>
  </si>
  <si>
    <t>Grid connected late</t>
  </si>
  <si>
    <t>20/05/2025</t>
  </si>
  <si>
    <t>Channel Short Circuit Before Aging</t>
  </si>
  <si>
    <t>26/05/2025</t>
  </si>
  <si>
    <t>Channel Short Circuit During Aging</t>
  </si>
  <si>
    <t>03/06/2025</t>
  </si>
  <si>
    <t>Setup Issue - AC</t>
  </si>
  <si>
    <t>Setup Issue - DC</t>
  </si>
  <si>
    <t>ch1/ch2 0 volts</t>
  </si>
  <si>
    <t>28/05/2025</t>
  </si>
  <si>
    <t>23/05/2025</t>
  </si>
  <si>
    <t>10/06/2025</t>
  </si>
  <si>
    <t>23/06/2025</t>
  </si>
  <si>
    <t>04/07/2025</t>
  </si>
  <si>
    <t>06/07/2025</t>
  </si>
  <si>
    <t>07/07/2025</t>
  </si>
  <si>
    <t>08/07/2025</t>
  </si>
  <si>
    <t>PV4 Bad connection/source</t>
  </si>
  <si>
    <t>09/07/2025</t>
  </si>
  <si>
    <t>10/07/2025</t>
  </si>
  <si>
    <t>14/07/2025</t>
  </si>
  <si>
    <t xml:space="preserve">Setup Issue - Mixed Connectors </t>
  </si>
  <si>
    <t>15/07/2025</t>
  </si>
  <si>
    <t>GFDI Fault</t>
  </si>
  <si>
    <t>17/07/2025</t>
  </si>
  <si>
    <t>18/07/2025</t>
  </si>
  <si>
    <t>19/07/2025</t>
  </si>
  <si>
    <t>20/07/2025</t>
  </si>
  <si>
    <t>Channel Undervoltage Before Aging</t>
  </si>
  <si>
    <t>22/07/2025</t>
  </si>
  <si>
    <t>ch2 not connected?</t>
  </si>
  <si>
    <t>24/07/2025</t>
  </si>
  <si>
    <t>29/07/2025</t>
  </si>
  <si>
    <t>100 inverter test, dc src room likely too hot</t>
  </si>
  <si>
    <t>Inverter Failure During Burnin - Other</t>
  </si>
  <si>
    <t xml:space="preserve">excessively high grid voltage, inverter power cycling </t>
  </si>
  <si>
    <t>inverter power cycling</t>
  </si>
  <si>
    <t>July</t>
  </si>
  <si>
    <t>June</t>
  </si>
  <si>
    <t>May</t>
  </si>
  <si>
    <t>Period</t>
  </si>
  <si>
    <t>Total Tests</t>
  </si>
  <si>
    <t>setup/manufacturing/gfdi</t>
  </si>
  <si>
    <t>Total</t>
  </si>
  <si>
    <t>percent of tests</t>
  </si>
  <si>
    <t>failure due to</t>
  </si>
  <si>
    <t>High temperature DC failure during burnin</t>
  </si>
  <si>
    <t>Other failure during burnin</t>
  </si>
  <si>
    <t>Setup/manufacturing/gfdi</t>
  </si>
  <si>
    <t>31/07/2025</t>
  </si>
  <si>
    <t>02/08/2025</t>
  </si>
  <si>
    <t>03/08/2025</t>
  </si>
  <si>
    <t>Anti-Islanding</t>
  </si>
  <si>
    <t>04/08/2025</t>
  </si>
  <si>
    <t>T=78c, CH3</t>
  </si>
  <si>
    <t>CH4</t>
  </si>
  <si>
    <t>T=88c, CH2</t>
  </si>
  <si>
    <t>T=88c, CH1</t>
  </si>
  <si>
    <t>T=66c, CH1</t>
  </si>
  <si>
    <t>T=86c, CH3</t>
  </si>
  <si>
    <t>T=85c, CH3</t>
  </si>
  <si>
    <t>T=86c, CH1</t>
  </si>
  <si>
    <t>T=82c, CH3</t>
  </si>
  <si>
    <t>T=82c, CH1</t>
  </si>
  <si>
    <t>T=86c, CH2</t>
  </si>
  <si>
    <t>T=84c, CH4</t>
  </si>
  <si>
    <t>T=87c, CH2</t>
  </si>
  <si>
    <t>T=91c, CH3</t>
  </si>
  <si>
    <t>T=90c, CH4</t>
  </si>
  <si>
    <t>T=90c, CH1 intermittent failure</t>
  </si>
  <si>
    <t>T=77c, CH4</t>
  </si>
  <si>
    <t>T=91c, CH1</t>
  </si>
  <si>
    <t>CH1</t>
  </si>
  <si>
    <t>CH2</t>
  </si>
  <si>
    <t>T=88c, CH3</t>
  </si>
  <si>
    <t>T=82c, CH2</t>
  </si>
  <si>
    <t>T=90c, CH1</t>
  </si>
  <si>
    <t>T=84c, CH1</t>
  </si>
  <si>
    <t>DC Failures by Channel</t>
  </si>
  <si>
    <t>CH3</t>
  </si>
  <si>
    <t>14/08/2025</t>
  </si>
  <si>
    <t>Unknown</t>
  </si>
  <si>
    <t>All channels short circuit?</t>
  </si>
  <si>
    <t xml:space="preserve">ch1/ch2 </t>
  </si>
  <si>
    <t>Manufacturing Issue - Failure due to inverted connectors</t>
  </si>
  <si>
    <t>24/08/2025</t>
  </si>
  <si>
    <t>Vgrid very erratic in latched data</t>
  </si>
  <si>
    <t>25/08/2025</t>
  </si>
  <si>
    <t>T=58c, CH1</t>
  </si>
  <si>
    <t>27/08/2025</t>
  </si>
  <si>
    <t>T=88c, CH4</t>
  </si>
  <si>
    <t>27/09/2025</t>
  </si>
  <si>
    <t>29/08/2025</t>
  </si>
  <si>
    <t>Grid Issue</t>
  </si>
  <si>
    <t>excessively high grid voltage</t>
  </si>
  <si>
    <t>Device Timeout</t>
  </si>
  <si>
    <t>30/08/2025</t>
  </si>
  <si>
    <t>02/09/2025</t>
  </si>
  <si>
    <t>04/09/2025</t>
  </si>
  <si>
    <t>05/09/2025</t>
  </si>
  <si>
    <t>06/09/2025</t>
  </si>
  <si>
    <t>07/09/2025</t>
  </si>
  <si>
    <t>11/09/2025</t>
  </si>
  <si>
    <t>09/09/2025</t>
  </si>
  <si>
    <t>20/09/2025</t>
  </si>
  <si>
    <t>pv2 starts dead then briefly recovers then dies again</t>
  </si>
  <si>
    <t>12/09/2025</t>
  </si>
  <si>
    <t>17/09/2025</t>
  </si>
  <si>
    <t>18/09/2025</t>
  </si>
  <si>
    <t>21/09/2025</t>
  </si>
  <si>
    <t>25/09/2025</t>
  </si>
  <si>
    <t>26/09/2025</t>
  </si>
  <si>
    <t>28/09/2025</t>
  </si>
  <si>
    <t>T=90, CH4</t>
  </si>
  <si>
    <t>29/09/2025</t>
  </si>
  <si>
    <t>Thermal Shutdown</t>
  </si>
  <si>
    <t>T=90, CH3 - odd data</t>
  </si>
  <si>
    <t>12v on ch4</t>
  </si>
  <si>
    <t>30/09/2025</t>
  </si>
  <si>
    <t>after 23 hours</t>
  </si>
  <si>
    <t>03/10/2025</t>
  </si>
  <si>
    <t>04/10/2025</t>
  </si>
  <si>
    <t>pv voltage crazy</t>
  </si>
  <si>
    <t>05/10/2025</t>
  </si>
  <si>
    <t>T=80, CH3</t>
  </si>
  <si>
    <t>06/10/2025</t>
  </si>
  <si>
    <t>09/10/2025</t>
  </si>
  <si>
    <t>after `12 hours</t>
  </si>
  <si>
    <t>11/10/2025</t>
  </si>
  <si>
    <t>T=82, CH1 - odd data</t>
  </si>
  <si>
    <t>T=87, CH3</t>
  </si>
  <si>
    <t>T=87, CH4</t>
  </si>
  <si>
    <t>T=44, CH1 - brief channel recovery</t>
  </si>
  <si>
    <t>12/10/2025</t>
  </si>
  <si>
    <t>T=87, CH1</t>
  </si>
  <si>
    <t>01/11/2025</t>
  </si>
  <si>
    <t>03/11/2025</t>
  </si>
  <si>
    <t>ch4 no dc voltage</t>
  </si>
  <si>
    <t>ch1 dc drops to 0</t>
  </si>
  <si>
    <t>ch2 no dc voltage</t>
  </si>
  <si>
    <t>04/11/2025</t>
  </si>
  <si>
    <t>05/11/2025</t>
  </si>
  <si>
    <t>T=56</t>
  </si>
  <si>
    <t>ch1/2 no dc voltage</t>
  </si>
  <si>
    <t>ch3 low dc voltage</t>
  </si>
  <si>
    <t>T=46</t>
  </si>
  <si>
    <t>06/11/2025</t>
  </si>
  <si>
    <t>T=88</t>
  </si>
  <si>
    <t>07/11/2025</t>
  </si>
  <si>
    <t>T=90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</si>
</sst>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 applyAlignment="1">
      <alignment horizontal="left"/>
    </xf>
    <xf numFmtId="0" fontId="1" fillId="0" borderId="0" xfId="0" applyFont="1"/>
    <xf numFmtId="1" fontId="1" fillId="0" borderId="0" xfId="0" applyNumberFormat="1" applyFont="1" applyAlignment="1">
      <alignment horizontal="left"/>
    </xf>
    <xf numFmtId="14" fontId="0" fillId="0" borderId="0" xfId="0" applyNumberFormat="1"/>
    <xf numFmtId="0" fontId="0" fillId="0" borderId="1" xfId="0" applyBorder="1"/>
    <xf numFmtId="14" fontId="1" fillId="0" borderId="0" xfId="0" applyNumberFormat="1" applyFont="1"/>
    <xf numFmtId="14" fontId="0" fillId="0" borderId="2" xfId="0" applyNumberFormat="1" applyBorder="1"/>
    <xf numFmtId="0" fontId="0" fillId="0" borderId="2" xfId="0" applyBorder="1"/>
    <xf numFmtId="14" fontId="0" fillId="0" borderId="4" xfId="0" applyNumberFormat="1" applyBorder="1"/>
    <xf numFmtId="0" fontId="0" fillId="0" borderId="4" xfId="0" applyBorder="1"/>
    <xf numFmtId="14" fontId="1" fillId="0" borderId="3" xfId="0" applyNumberFormat="1" applyFont="1" applyBorder="1"/>
    <xf numFmtId="0" fontId="1" fillId="0" borderId="3" xfId="0" applyFont="1" applyBorder="1"/>
    <xf numFmtId="0" fontId="0" fillId="2" borderId="0" xfId="0" applyFill="1"/>
    <xf numFmtId="1" fontId="0" fillId="2" borderId="5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">
    <dxf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Burnin Failures</a:t>
            </a:r>
            <a:r>
              <a:rPr lang="en-CA" baseline="0"/>
              <a:t> by Category (# of incidences)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0711739208494707E-2"/>
          <c:y val="0.10991485335856196"/>
          <c:w val="0.88676202119686176"/>
          <c:h val="0.709718785151856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failure_mode_incidence_counts!$B$1</c:f>
              <c:strCache>
                <c:ptCount val="1"/>
                <c:pt idx="0">
                  <c:v>Channel Short Circuit Before Aging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failure_mode_incidence_counts!$B$2:$B$4</c:f>
              <c:numCache>
                <c:formatCode>General</c:formatCode>
                <c:ptCount val="3"/>
                <c:pt idx="0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2-4033-A172-A8FC13925A2C}"/>
            </c:ext>
          </c:extLst>
        </c:ser>
        <c:ser>
          <c:idx val="1"/>
          <c:order val="1"/>
          <c:tx>
            <c:strRef>
              <c:f>failure_mode_incidence_counts!$C$1</c:f>
              <c:strCache>
                <c:ptCount val="1"/>
                <c:pt idx="0">
                  <c:v>Channel Short Circuit During 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failure_mode_incidence_counts!$C$2:$C$4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2-4033-A172-A8FC13925A2C}"/>
            </c:ext>
          </c:extLst>
        </c:ser>
        <c:ser>
          <c:idx val="2"/>
          <c:order val="2"/>
          <c:tx>
            <c:strRef>
              <c:f>failure_mode_incidence_counts!$D$1</c:f>
              <c:strCache>
                <c:ptCount val="1"/>
                <c:pt idx="0">
                  <c:v>Channel Undervoltage Before Aging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failure_mode_incidence_counts!$D$2:$D$4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2-4033-A172-A8FC13925A2C}"/>
            </c:ext>
          </c:extLst>
        </c:ser>
        <c:ser>
          <c:idx val="3"/>
          <c:order val="3"/>
          <c:tx>
            <c:strRef>
              <c:f>failure_mode_incidence_counts!$E$1</c:f>
              <c:strCache>
                <c:ptCount val="1"/>
                <c:pt idx="0">
                  <c:v>Channel Undervoltage During Aging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failure_mode_incidence_counts!$E$2:$E$4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2-4033-A172-A8FC13925A2C}"/>
            </c:ext>
          </c:extLst>
        </c:ser>
        <c:ser>
          <c:idx val="4"/>
          <c:order val="4"/>
          <c:tx>
            <c:strRef>
              <c:f>failure_mode_incidence_counts!$F$1</c:f>
              <c:strCache>
                <c:ptCount val="1"/>
                <c:pt idx="0">
                  <c:v>GFDI Fault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failure_mode_incidence_counts!$F$2:$F$4</c:f>
              <c:numCache>
                <c:formatCode>General</c:formatCode>
                <c:ptCount val="3"/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22-4033-A172-A8FC13925A2C}"/>
            </c:ext>
          </c:extLst>
        </c:ser>
        <c:ser>
          <c:idx val="5"/>
          <c:order val="5"/>
          <c:tx>
            <c:strRef>
              <c:f>failure_mode_incidence_counts!$G$1</c:f>
              <c:strCache>
                <c:ptCount val="1"/>
                <c:pt idx="0">
                  <c:v>Inverter Failure During Burnin - 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failure_mode_incidence_counts!$G$2:$G$4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22-4033-A172-A8FC13925A2C}"/>
            </c:ext>
          </c:extLst>
        </c:ser>
        <c:ser>
          <c:idx val="6"/>
          <c:order val="6"/>
          <c:tx>
            <c:strRef>
              <c:f>failure_mode_incidence_counts!$H$1</c:f>
              <c:strCache>
                <c:ptCount val="1"/>
                <c:pt idx="0">
                  <c:v>Setup Issue - 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failure_mode_incidence_counts!$H$2:$H$4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22-4033-A172-A8FC13925A2C}"/>
            </c:ext>
          </c:extLst>
        </c:ser>
        <c:ser>
          <c:idx val="7"/>
          <c:order val="7"/>
          <c:tx>
            <c:strRef>
              <c:f>failure_mode_incidence_counts!$I$1</c:f>
              <c:strCache>
                <c:ptCount val="1"/>
                <c:pt idx="0">
                  <c:v>Setup Issue - DC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failure_mode_incidence_counts!$I$2:$I$4</c:f>
              <c:numCache>
                <c:formatCode>General</c:formatCode>
                <c:ptCount val="3"/>
                <c:pt idx="1">
                  <c:v>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22-4033-A172-A8FC13925A2C}"/>
            </c:ext>
          </c:extLst>
        </c:ser>
        <c:ser>
          <c:idx val="8"/>
          <c:order val="8"/>
          <c:tx>
            <c:strRef>
              <c:f>failure_mode_incidence_counts!$J$1</c:f>
              <c:strCache>
                <c:ptCount val="1"/>
                <c:pt idx="0">
                  <c:v>Setup Issue - Mixed Connectors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failure_mode_incidence_counts!$A$2:$A$4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failure_mode_incidence_counts!$J$2:$J$4</c:f>
              <c:numCache>
                <c:formatCode>General</c:formatCode>
                <c:ptCount val="3"/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22-4033-A172-A8FC13925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7836159"/>
        <c:axId val="1617839039"/>
      </c:barChart>
      <c:catAx>
        <c:axId val="1617836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/>
                  <a:t>Month</a:t>
                </a:r>
              </a:p>
            </c:rich>
          </c:tx>
          <c:layout>
            <c:manualLayout>
              <c:xMode val="edge"/>
              <c:yMode val="edge"/>
              <c:x val="1.7075585421529149E-2"/>
              <c:y val="0.43290578743882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39039"/>
        <c:crosses val="autoZero"/>
        <c:auto val="1"/>
        <c:lblAlgn val="ctr"/>
        <c:lblOffset val="100"/>
        <c:noMultiLvlLbl val="0"/>
      </c:catAx>
      <c:valAx>
        <c:axId val="161783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of incidences</a:t>
                </a:r>
                <a:endParaRPr lang="en-CA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Burnin Failures</a:t>
            </a:r>
            <a:r>
              <a:rPr lang="en-CA" baseline="0"/>
              <a:t> by Category (% of all tests)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0711739208494707E-2"/>
          <c:y val="0.10991485335856196"/>
          <c:w val="0.88676202119686176"/>
          <c:h val="0.709718785151856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failure_mode_percentages!$B$1</c:f>
              <c:strCache>
                <c:ptCount val="1"/>
                <c:pt idx="0">
                  <c:v>Channel Short Circuit Before Aging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failure_mode_percentages!$B$2:$B$4</c:f>
              <c:numCache>
                <c:formatCode>General</c:formatCode>
                <c:ptCount val="3"/>
                <c:pt idx="0">
                  <c:v>0.61919504643962853</c:v>
                </c:pt>
                <c:pt idx="1">
                  <c:v>0</c:v>
                </c:pt>
                <c:pt idx="2">
                  <c:v>0.20597322348094746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A-43EA-9675-76FF253EF0D6}"/>
            </c:ext>
          </c:extLst>
        </c:ser>
        <c:ser>
          <c:idx val="1"/>
          <c:order val="1"/>
          <c:tx>
            <c:strRef>
              <c:f>failure_mode_percentages!$C$1</c:f>
              <c:strCache>
                <c:ptCount val="1"/>
                <c:pt idx="0">
                  <c:v>Channel Short Circuit During Aging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failure_mode_percentages!$C$2:$C$4</c:f>
              <c:numCache>
                <c:formatCode>General</c:formatCode>
                <c:ptCount val="3"/>
                <c:pt idx="0">
                  <c:v>0.61919504643962853</c:v>
                </c:pt>
                <c:pt idx="1">
                  <c:v>0.68493150684931503</c:v>
                </c:pt>
                <c:pt idx="2">
                  <c:v>1.7507723995880538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A-43EA-9675-76FF253EF0D6}"/>
            </c:ext>
          </c:extLst>
        </c:ser>
        <c:ser>
          <c:idx val="2"/>
          <c:order val="2"/>
          <c:tx>
            <c:strRef>
              <c:f>failure_mode_percentages!$D$1</c:f>
              <c:strCache>
                <c:ptCount val="1"/>
                <c:pt idx="0">
                  <c:v>Channel Undervoltage Before Aging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failure_mode_percentages!$D$2:$D$4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0.10298661174047373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A-43EA-9675-76FF253EF0D6}"/>
            </c:ext>
          </c:extLst>
        </c:ser>
        <c:ser>
          <c:idx val="3"/>
          <c:order val="3"/>
          <c:tx>
            <c:strRef>
              <c:f>failure_mode_percentages!$E$1</c:f>
              <c:strCache>
                <c:ptCount val="1"/>
                <c:pt idx="0">
                  <c:v>Channel Undervoltage During Aging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failure_mode_percentages!$E$2:$E$4</c:f>
              <c:numCache>
                <c:formatCode>General</c:formatCode>
                <c:ptCount val="3"/>
                <c:pt idx="0">
                  <c:v>0.30959752321981426</c:v>
                </c:pt>
                <c:pt idx="1">
                  <c:v>0.68493150684931503</c:v>
                </c:pt>
                <c:pt idx="2">
                  <c:v>0.10298661174047373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A-43EA-9675-76FF253EF0D6}"/>
            </c:ext>
          </c:extLst>
        </c:ser>
        <c:ser>
          <c:idx val="4"/>
          <c:order val="4"/>
          <c:tx>
            <c:strRef>
              <c:f>failure_mode_percentages!$F$1</c:f>
              <c:strCache>
                <c:ptCount val="1"/>
                <c:pt idx="0">
                  <c:v>GFDI Fault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failure_mode_percentages!$F$2:$F$4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0.51493305870236872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DA-43EA-9675-76FF253EF0D6}"/>
            </c:ext>
          </c:extLst>
        </c:ser>
        <c:ser>
          <c:idx val="5"/>
          <c:order val="5"/>
          <c:tx>
            <c:strRef>
              <c:f>failure_mode_percentages!$G$1</c:f>
              <c:strCache>
                <c:ptCount val="1"/>
                <c:pt idx="0">
                  <c:v>Inverter Failure During Burnin - 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failure_mode_percentages!$G$2:$G$4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0.30895983522142123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DA-43EA-9675-76FF253EF0D6}"/>
            </c:ext>
          </c:extLst>
        </c:ser>
        <c:ser>
          <c:idx val="6"/>
          <c:order val="6"/>
          <c:tx>
            <c:strRef>
              <c:f>failure_mode_percentages!$H$1</c:f>
              <c:strCache>
                <c:ptCount val="1"/>
                <c:pt idx="0">
                  <c:v>Setup Issue - 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failure_mode_percentages!$H$2:$H$4</c:f>
              <c:numCache>
                <c:formatCode>General</c:formatCode>
                <c:ptCount val="3"/>
                <c:pt idx="0">
                  <c:v>1.5479876160990713</c:v>
                </c:pt>
                <c:pt idx="1">
                  <c:v>0.68493150684931503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DA-43EA-9675-76FF253EF0D6}"/>
            </c:ext>
          </c:extLst>
        </c:ser>
        <c:ser>
          <c:idx val="7"/>
          <c:order val="7"/>
          <c:tx>
            <c:strRef>
              <c:f>failure_mode_percentages!$I$1</c:f>
              <c:strCache>
                <c:ptCount val="1"/>
                <c:pt idx="0">
                  <c:v>Setup Issue - DC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failure_mode_percentages!$I$2:$I$4</c:f>
              <c:numCache>
                <c:formatCode>General</c:formatCode>
                <c:ptCount val="3"/>
                <c:pt idx="0">
                  <c:v>0</c:v>
                </c:pt>
                <c:pt idx="1">
                  <c:v>0.68493150684931503</c:v>
                </c:pt>
                <c:pt idx="2">
                  <c:v>1.3388259526261586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DA-43EA-9675-76FF253EF0D6}"/>
            </c:ext>
          </c:extLst>
        </c:ser>
        <c:ser>
          <c:idx val="8"/>
          <c:order val="8"/>
          <c:tx>
            <c:strRef>
              <c:f>failure_mode_percentages!$J$1</c:f>
              <c:strCache>
                <c:ptCount val="1"/>
                <c:pt idx="0">
                  <c:v>Setup Issue - Mixed Connectors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failure_mode_percentages!$A$2:$A$4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failure_mode_percentages!$J$2:$J$4</c:f>
              <c:numCache>
                <c:formatCode>General</c:formatCode>
                <c:ptCount val="3"/>
                <c:pt idx="0">
                  <c:v>0</c:v>
                </c:pt>
                <c:pt idx="1">
                  <c:v>0.68493150684931503</c:v>
                </c:pt>
                <c:pt idx="2">
                  <c:v>0.51493305870236872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DA-43EA-9675-76FF253EF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7836159"/>
        <c:axId val="1617839039"/>
      </c:barChart>
      <c:catAx>
        <c:axId val="1617836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/>
                  <a:t>Month</a:t>
                </a:r>
              </a:p>
            </c:rich>
          </c:tx>
          <c:layout>
            <c:manualLayout>
              <c:xMode val="edge"/>
              <c:yMode val="edge"/>
              <c:x val="1.7075585421529149E-2"/>
              <c:y val="0.43290578743882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39039"/>
        <c:crosses val="autoZero"/>
        <c:auto val="1"/>
        <c:lblAlgn val="ctr"/>
        <c:lblOffset val="100"/>
        <c:noMultiLvlLbl val="0"/>
      </c:catAx>
      <c:valAx>
        <c:axId val="161783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all tests</a:t>
                </a:r>
                <a:endParaRPr lang="en-CA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374649</xdr:colOff>
      <xdr:row>1</xdr:row>
      <xdr:rowOff>9525</xdr:rowOff>
    </xdr:from>
    <xdr:to>
      <xdr:col>14</xdr:col>
      <xdr:colOff>609599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34B5CB-0A3D-1544-9C0D-4CCE8BDC9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485775</xdr:colOff>
      <xdr:row>1</xdr:row>
      <xdr:rowOff>9525</xdr:rowOff>
    </xdr:from>
    <xdr:to>
      <xdr:col>30</xdr:col>
      <xdr:colOff>114300</xdr:colOff>
      <xdr:row>37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2E795-00DC-46F4-ABA1-0F4E207B2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8A2F1-9569-4191-AADF-97D3F9C5A191}" name="Table1" displayName="Table1" ref="A1:D262" totalsRowShown="0" headerRowDxfId="1">
  <autoFilter ref="A1:D262" xr:uid="{53A8A2F1-9569-4191-AADF-97D3F9C5A191}"/>
  <tableColumns count="4">
    <tableColumn id="1" xr3:uid="{33060D79-5832-498D-88D1-68B77C44A55D}" name="Failure Date"/>
    <tableColumn id="2" xr3:uid="{648B5A9C-8A53-4A37-BA97-53089DB0EE48}" name="Failure Category"/>
    <tableColumn id="3" xr3:uid="{11BD8D59-B93E-445E-BFDB-67D632D44DC9}" name="Serial Number" dataDxfId="0"/>
    <tableColumn id="4" xr3:uid="{5D819704-E0CD-48BE-9AC0-37A4111A1441}" name="Additional Inform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3B6D-564D-436C-9452-256A2601B917}">
  <dimension ref="A1"/>
  <sheetViews>
    <sheetView zoomScaleNormal="100" workbookViewId="0">
      <selection activeCell="G52" sqref="G5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9AB2-3C1B-4C9B-A2A8-DC42715BD940}">
  <dimension ref="A1:N375"/>
  <sheetViews>
    <sheetView tabSelected="1" topLeftCell="A205" zoomScale="85" zoomScaleNormal="85" workbookViewId="0">
      <selection activeCell="G233" sqref="G233"/>
    </sheetView>
  </sheetViews>
  <sheetFormatPr defaultRowHeight="14.5" x14ac:dyDescent="0.35"/>
  <cols>
    <col min="1" max="1" width="24.7265625" customWidth="1"/>
    <col min="2" max="2" width="53.90625" customWidth="1"/>
    <col min="3" max="3" width="14.7265625" style="1" customWidth="1"/>
    <col min="4" max="4" width="24.6328125" customWidth="1"/>
    <col min="7" max="7" width="26.08984375" customWidth="1"/>
    <col min="12" max="12" width="13.90625" bestFit="1" customWidth="1"/>
    <col min="13" max="13" width="16.54296875" customWidth="1"/>
  </cols>
  <sheetData>
    <row r="1" spans="1:4" x14ac:dyDescent="0.35">
      <c r="A1" s="2" t="s">
        <v>3</v>
      </c>
      <c r="B1" s="2" t="s">
        <v>1</v>
      </c>
      <c r="C1" s="3" t="s">
        <v>0</v>
      </c>
      <c r="D1" s="2" t="s">
        <v>2</v>
      </c>
    </row>
    <row r="2" spans="1:4" x14ac:dyDescent="0.35">
      <c r="A2" t="s">
        <v>6</v>
      </c>
      <c r="B2" t="s">
        <v>4</v>
      </c>
      <c r="C2" s="1">
        <v>190825130075</v>
      </c>
      <c r="D2" t="s">
        <v>59</v>
      </c>
    </row>
    <row r="3" spans="1:4" x14ac:dyDescent="0.35">
      <c r="A3" t="s">
        <v>6</v>
      </c>
      <c r="B3" t="s">
        <v>11</v>
      </c>
      <c r="C3" s="1">
        <v>190825060204</v>
      </c>
      <c r="D3" t="s">
        <v>5</v>
      </c>
    </row>
    <row r="4" spans="1:4" x14ac:dyDescent="0.35">
      <c r="A4" t="s">
        <v>6</v>
      </c>
      <c r="B4" t="s">
        <v>7</v>
      </c>
      <c r="C4" s="1">
        <v>190824520068</v>
      </c>
      <c r="D4" t="s">
        <v>60</v>
      </c>
    </row>
    <row r="5" spans="1:4" x14ac:dyDescent="0.35">
      <c r="A5" t="s">
        <v>15</v>
      </c>
      <c r="B5" t="s">
        <v>9</v>
      </c>
      <c r="C5" s="1">
        <v>190825180078</v>
      </c>
      <c r="D5" t="s">
        <v>61</v>
      </c>
    </row>
    <row r="6" spans="1:4" x14ac:dyDescent="0.35">
      <c r="A6" t="s">
        <v>8</v>
      </c>
      <c r="B6" t="s">
        <v>9</v>
      </c>
      <c r="C6" s="1">
        <v>190825180166</v>
      </c>
      <c r="D6" t="s">
        <v>62</v>
      </c>
    </row>
    <row r="7" spans="1:4" x14ac:dyDescent="0.35">
      <c r="A7" t="s">
        <v>8</v>
      </c>
      <c r="B7" t="s">
        <v>11</v>
      </c>
      <c r="C7" s="1">
        <v>190825180056</v>
      </c>
      <c r="D7" t="s">
        <v>5</v>
      </c>
    </row>
    <row r="8" spans="1:4" x14ac:dyDescent="0.35">
      <c r="A8" t="s">
        <v>8</v>
      </c>
      <c r="B8" t="s">
        <v>11</v>
      </c>
      <c r="C8" s="1">
        <v>190825180245</v>
      </c>
      <c r="D8" t="s">
        <v>5</v>
      </c>
    </row>
    <row r="9" spans="1:4" x14ac:dyDescent="0.35">
      <c r="A9" t="s">
        <v>8</v>
      </c>
      <c r="B9" t="s">
        <v>11</v>
      </c>
      <c r="C9" s="1">
        <v>190825180149</v>
      </c>
      <c r="D9" t="s">
        <v>5</v>
      </c>
    </row>
    <row r="10" spans="1:4" x14ac:dyDescent="0.35">
      <c r="A10" t="s">
        <v>8</v>
      </c>
      <c r="B10" t="s">
        <v>11</v>
      </c>
      <c r="C10" s="1">
        <v>190825180150</v>
      </c>
      <c r="D10" t="s">
        <v>5</v>
      </c>
    </row>
    <row r="11" spans="1:4" x14ac:dyDescent="0.35">
      <c r="A11" t="s">
        <v>14</v>
      </c>
      <c r="B11" t="s">
        <v>7</v>
      </c>
      <c r="C11" s="1">
        <v>190825180351</v>
      </c>
      <c r="D11" t="s">
        <v>60</v>
      </c>
    </row>
    <row r="12" spans="1:4" x14ac:dyDescent="0.35">
      <c r="A12" t="s">
        <v>10</v>
      </c>
      <c r="B12" t="s">
        <v>26</v>
      </c>
      <c r="C12" s="1">
        <v>190825180313</v>
      </c>
    </row>
    <row r="13" spans="1:4" x14ac:dyDescent="0.35">
      <c r="A13" t="s">
        <v>10</v>
      </c>
      <c r="B13" t="s">
        <v>11</v>
      </c>
      <c r="C13" s="1">
        <v>190825180303</v>
      </c>
      <c r="D13" t="s">
        <v>5</v>
      </c>
    </row>
    <row r="14" spans="1:4" x14ac:dyDescent="0.35">
      <c r="A14" t="s">
        <v>10</v>
      </c>
      <c r="B14" t="s">
        <v>12</v>
      </c>
      <c r="C14" s="1">
        <v>190825180201</v>
      </c>
      <c r="D14" t="s">
        <v>13</v>
      </c>
    </row>
    <row r="15" spans="1:4" x14ac:dyDescent="0.35">
      <c r="A15" t="s">
        <v>16</v>
      </c>
      <c r="B15" t="s">
        <v>4</v>
      </c>
      <c r="C15" s="1">
        <v>190825180300</v>
      </c>
      <c r="D15" t="s">
        <v>63</v>
      </c>
    </row>
    <row r="16" spans="1:4" x14ac:dyDescent="0.35">
      <c r="A16" t="s">
        <v>17</v>
      </c>
      <c r="B16" t="s">
        <v>9</v>
      </c>
      <c r="C16" s="1">
        <v>190825180328</v>
      </c>
      <c r="D16" t="s">
        <v>61</v>
      </c>
    </row>
    <row r="17" spans="1:4" x14ac:dyDescent="0.35">
      <c r="A17" t="s">
        <v>18</v>
      </c>
      <c r="B17" t="s">
        <v>9</v>
      </c>
      <c r="C17" s="1">
        <v>190825250027</v>
      </c>
      <c r="D17" t="s">
        <v>64</v>
      </c>
    </row>
    <row r="18" spans="1:4" x14ac:dyDescent="0.35">
      <c r="A18" t="s">
        <v>19</v>
      </c>
      <c r="B18" t="s">
        <v>9</v>
      </c>
      <c r="C18" s="1">
        <v>190825260094</v>
      </c>
      <c r="D18" t="s">
        <v>65</v>
      </c>
    </row>
    <row r="19" spans="1:4" x14ac:dyDescent="0.35">
      <c r="A19" t="s">
        <v>19</v>
      </c>
      <c r="B19" t="s">
        <v>9</v>
      </c>
      <c r="C19" s="1">
        <v>190825250132</v>
      </c>
      <c r="D19" t="s">
        <v>66</v>
      </c>
    </row>
    <row r="20" spans="1:4" x14ac:dyDescent="0.35">
      <c r="A20" t="s">
        <v>20</v>
      </c>
      <c r="B20" t="s">
        <v>9</v>
      </c>
      <c r="C20" s="1">
        <v>190825250124</v>
      </c>
      <c r="D20" t="s">
        <v>67</v>
      </c>
    </row>
    <row r="21" spans="1:4" x14ac:dyDescent="0.35">
      <c r="A21" t="s">
        <v>21</v>
      </c>
      <c r="B21" t="s">
        <v>9</v>
      </c>
      <c r="C21" s="1">
        <v>190825260311</v>
      </c>
      <c r="D21" t="s">
        <v>68</v>
      </c>
    </row>
    <row r="22" spans="1:4" x14ac:dyDescent="0.35">
      <c r="A22" t="s">
        <v>21</v>
      </c>
      <c r="B22" t="s">
        <v>12</v>
      </c>
      <c r="C22" s="1">
        <v>190825260250</v>
      </c>
      <c r="D22" t="s">
        <v>22</v>
      </c>
    </row>
    <row r="23" spans="1:4" x14ac:dyDescent="0.35">
      <c r="A23" t="s">
        <v>23</v>
      </c>
      <c r="B23" t="s">
        <v>39</v>
      </c>
      <c r="C23" s="1">
        <v>190825260022</v>
      </c>
    </row>
    <row r="24" spans="1:4" x14ac:dyDescent="0.35">
      <c r="A24" t="s">
        <v>24</v>
      </c>
      <c r="B24" t="s">
        <v>9</v>
      </c>
      <c r="C24" s="1">
        <v>190825250014</v>
      </c>
      <c r="D24" t="s">
        <v>66</v>
      </c>
    </row>
    <row r="25" spans="1:4" x14ac:dyDescent="0.35">
      <c r="A25" t="s">
        <v>24</v>
      </c>
      <c r="B25" t="s">
        <v>9</v>
      </c>
      <c r="C25" s="1">
        <v>190825250098</v>
      </c>
      <c r="D25" t="s">
        <v>70</v>
      </c>
    </row>
    <row r="26" spans="1:4" x14ac:dyDescent="0.35">
      <c r="A26" t="s">
        <v>24</v>
      </c>
      <c r="B26" t="s">
        <v>9</v>
      </c>
      <c r="C26" s="1">
        <v>190825260388</v>
      </c>
      <c r="D26" t="s">
        <v>71</v>
      </c>
    </row>
    <row r="27" spans="1:4" x14ac:dyDescent="0.35">
      <c r="A27" t="s">
        <v>25</v>
      </c>
      <c r="B27" t="s">
        <v>9</v>
      </c>
      <c r="C27" s="1">
        <v>190825260198</v>
      </c>
      <c r="D27" t="s">
        <v>72</v>
      </c>
    </row>
    <row r="28" spans="1:4" x14ac:dyDescent="0.35">
      <c r="A28" t="s">
        <v>25</v>
      </c>
      <c r="B28" t="s">
        <v>26</v>
      </c>
      <c r="C28" s="1">
        <v>190825260289</v>
      </c>
    </row>
    <row r="29" spans="1:4" x14ac:dyDescent="0.35">
      <c r="A29" t="s">
        <v>25</v>
      </c>
      <c r="B29" t="s">
        <v>9</v>
      </c>
      <c r="C29" s="1">
        <v>190825260238</v>
      </c>
      <c r="D29" t="s">
        <v>73</v>
      </c>
    </row>
    <row r="30" spans="1:4" x14ac:dyDescent="0.35">
      <c r="A30" t="s">
        <v>25</v>
      </c>
      <c r="B30" t="s">
        <v>9</v>
      </c>
      <c r="C30" s="1">
        <v>190825260257</v>
      </c>
      <c r="D30" t="s">
        <v>74</v>
      </c>
    </row>
    <row r="31" spans="1:4" x14ac:dyDescent="0.35">
      <c r="A31" t="s">
        <v>27</v>
      </c>
      <c r="B31" t="s">
        <v>9</v>
      </c>
      <c r="C31" s="1">
        <v>190825260252</v>
      </c>
      <c r="D31" t="s">
        <v>75</v>
      </c>
    </row>
    <row r="32" spans="1:4" x14ac:dyDescent="0.35">
      <c r="A32" t="s">
        <v>29</v>
      </c>
      <c r="B32" t="s">
        <v>28</v>
      </c>
      <c r="C32" s="1">
        <v>190825260626</v>
      </c>
    </row>
    <row r="33" spans="1:4" x14ac:dyDescent="0.35">
      <c r="A33" t="s">
        <v>29</v>
      </c>
      <c r="B33" t="s">
        <v>28</v>
      </c>
      <c r="C33" s="1">
        <v>190825260206</v>
      </c>
    </row>
    <row r="34" spans="1:4" x14ac:dyDescent="0.35">
      <c r="A34" t="s">
        <v>30</v>
      </c>
      <c r="B34" t="s">
        <v>26</v>
      </c>
      <c r="C34" s="1">
        <v>190825260753</v>
      </c>
    </row>
    <row r="35" spans="1:4" x14ac:dyDescent="0.35">
      <c r="A35" t="s">
        <v>30</v>
      </c>
      <c r="B35" t="s">
        <v>26</v>
      </c>
      <c r="C35" s="1">
        <v>190825260754</v>
      </c>
    </row>
    <row r="36" spans="1:4" x14ac:dyDescent="0.35">
      <c r="A36" t="s">
        <v>30</v>
      </c>
      <c r="B36" t="s">
        <v>9</v>
      </c>
      <c r="C36" s="1">
        <v>190825260074</v>
      </c>
      <c r="D36" t="s">
        <v>65</v>
      </c>
    </row>
    <row r="37" spans="1:4" x14ac:dyDescent="0.35">
      <c r="A37" t="s">
        <v>30</v>
      </c>
      <c r="B37" t="s">
        <v>9</v>
      </c>
      <c r="C37" s="1">
        <v>190825260336</v>
      </c>
      <c r="D37" t="s">
        <v>76</v>
      </c>
    </row>
    <row r="38" spans="1:4" x14ac:dyDescent="0.35">
      <c r="A38" t="s">
        <v>31</v>
      </c>
      <c r="B38" t="s">
        <v>7</v>
      </c>
      <c r="C38" s="1">
        <v>190825260489</v>
      </c>
      <c r="D38" t="s">
        <v>77</v>
      </c>
    </row>
    <row r="39" spans="1:4" x14ac:dyDescent="0.35">
      <c r="A39" t="s">
        <v>32</v>
      </c>
      <c r="B39" t="s">
        <v>7</v>
      </c>
      <c r="C39" s="1">
        <v>190825260628</v>
      </c>
      <c r="D39" t="s">
        <v>78</v>
      </c>
    </row>
    <row r="40" spans="1:4" x14ac:dyDescent="0.35">
      <c r="A40" t="s">
        <v>32</v>
      </c>
      <c r="B40" t="s">
        <v>28</v>
      </c>
      <c r="C40" s="1">
        <v>190825260206</v>
      </c>
    </row>
    <row r="41" spans="1:4" x14ac:dyDescent="0.35">
      <c r="A41" t="s">
        <v>32</v>
      </c>
      <c r="B41" t="s">
        <v>28</v>
      </c>
      <c r="C41" s="1">
        <v>190825260626</v>
      </c>
    </row>
    <row r="42" spans="1:4" x14ac:dyDescent="0.35">
      <c r="A42" t="s">
        <v>34</v>
      </c>
      <c r="B42" t="s">
        <v>33</v>
      </c>
      <c r="C42" s="1">
        <v>190825280076</v>
      </c>
      <c r="D42" t="s">
        <v>78</v>
      </c>
    </row>
    <row r="43" spans="1:4" x14ac:dyDescent="0.35">
      <c r="A43" t="s">
        <v>34</v>
      </c>
      <c r="B43" t="s">
        <v>12</v>
      </c>
      <c r="C43" s="1">
        <v>190825260142</v>
      </c>
      <c r="D43" t="s">
        <v>35</v>
      </c>
    </row>
    <row r="44" spans="1:4" x14ac:dyDescent="0.35">
      <c r="A44" t="s">
        <v>34</v>
      </c>
      <c r="B44" t="s">
        <v>4</v>
      </c>
      <c r="C44" s="1">
        <v>190825260537</v>
      </c>
      <c r="D44" t="s">
        <v>78</v>
      </c>
    </row>
    <row r="45" spans="1:4" x14ac:dyDescent="0.35">
      <c r="A45" t="s">
        <v>36</v>
      </c>
      <c r="B45" t="s">
        <v>9</v>
      </c>
      <c r="C45" s="1">
        <v>190825280122</v>
      </c>
      <c r="D45" t="s">
        <v>61</v>
      </c>
    </row>
    <row r="46" spans="1:4" x14ac:dyDescent="0.35">
      <c r="A46" t="s">
        <v>36</v>
      </c>
      <c r="B46" t="s">
        <v>9</v>
      </c>
      <c r="C46" s="1">
        <v>190825260164</v>
      </c>
      <c r="D46" t="s">
        <v>69</v>
      </c>
    </row>
    <row r="47" spans="1:4" x14ac:dyDescent="0.35">
      <c r="A47" t="s">
        <v>36</v>
      </c>
      <c r="B47" t="s">
        <v>28</v>
      </c>
      <c r="C47" s="1">
        <v>190825260626</v>
      </c>
    </row>
    <row r="48" spans="1:4" x14ac:dyDescent="0.35">
      <c r="A48" t="s">
        <v>36</v>
      </c>
      <c r="B48" t="s">
        <v>12</v>
      </c>
      <c r="C48" s="1">
        <v>190825260192</v>
      </c>
      <c r="D48" t="s">
        <v>38</v>
      </c>
    </row>
    <row r="49" spans="1:4" x14ac:dyDescent="0.35">
      <c r="A49" t="s">
        <v>36</v>
      </c>
      <c r="B49" t="s">
        <v>26</v>
      </c>
      <c r="C49" s="1">
        <v>190825260603</v>
      </c>
    </row>
    <row r="50" spans="1:4" x14ac:dyDescent="0.35">
      <c r="A50" t="s">
        <v>36</v>
      </c>
      <c r="B50" t="s">
        <v>12</v>
      </c>
      <c r="C50" s="1">
        <v>190825260267</v>
      </c>
      <c r="D50" t="s">
        <v>38</v>
      </c>
    </row>
    <row r="51" spans="1:4" x14ac:dyDescent="0.35">
      <c r="A51" t="s">
        <v>37</v>
      </c>
      <c r="B51" t="s">
        <v>12</v>
      </c>
      <c r="C51" s="1">
        <v>190825260630</v>
      </c>
      <c r="D51" t="s">
        <v>38</v>
      </c>
    </row>
    <row r="52" spans="1:4" x14ac:dyDescent="0.35">
      <c r="A52" t="s">
        <v>37</v>
      </c>
      <c r="B52" t="s">
        <v>12</v>
      </c>
      <c r="C52" s="1">
        <v>190825260633</v>
      </c>
      <c r="D52" t="s">
        <v>38</v>
      </c>
    </row>
    <row r="53" spans="1:4" x14ac:dyDescent="0.35">
      <c r="A53" t="s">
        <v>37</v>
      </c>
      <c r="B53" t="s">
        <v>12</v>
      </c>
      <c r="C53" s="1">
        <v>190825260267</v>
      </c>
      <c r="D53" t="s">
        <v>38</v>
      </c>
    </row>
    <row r="54" spans="1:4" x14ac:dyDescent="0.35">
      <c r="A54" t="s">
        <v>37</v>
      </c>
      <c r="B54" t="s">
        <v>12</v>
      </c>
      <c r="C54" s="1">
        <v>190825260679</v>
      </c>
      <c r="D54" t="s">
        <v>38</v>
      </c>
    </row>
    <row r="55" spans="1:4" x14ac:dyDescent="0.35">
      <c r="A55" t="s">
        <v>37</v>
      </c>
      <c r="B55" t="s">
        <v>12</v>
      </c>
      <c r="C55" s="1">
        <v>190825260701</v>
      </c>
      <c r="D55" t="s">
        <v>38</v>
      </c>
    </row>
    <row r="56" spans="1:4" x14ac:dyDescent="0.35">
      <c r="A56" t="s">
        <v>37</v>
      </c>
      <c r="B56" t="s">
        <v>12</v>
      </c>
      <c r="C56" s="1">
        <v>190825280032</v>
      </c>
      <c r="D56" t="s">
        <v>38</v>
      </c>
    </row>
    <row r="57" spans="1:4" x14ac:dyDescent="0.35">
      <c r="A57" t="s">
        <v>37</v>
      </c>
      <c r="B57" t="s">
        <v>26</v>
      </c>
      <c r="C57" s="1">
        <v>190825280070</v>
      </c>
    </row>
    <row r="58" spans="1:4" x14ac:dyDescent="0.35">
      <c r="A58" t="s">
        <v>37</v>
      </c>
      <c r="B58" t="s">
        <v>9</v>
      </c>
      <c r="C58" s="1">
        <v>190825280061</v>
      </c>
      <c r="D58" t="s">
        <v>79</v>
      </c>
    </row>
    <row r="59" spans="1:4" x14ac:dyDescent="0.35">
      <c r="A59" t="s">
        <v>37</v>
      </c>
      <c r="B59" t="s">
        <v>12</v>
      </c>
      <c r="C59" s="1">
        <v>190825260148</v>
      </c>
      <c r="D59" t="s">
        <v>38</v>
      </c>
    </row>
    <row r="60" spans="1:4" x14ac:dyDescent="0.35">
      <c r="A60" t="s">
        <v>37</v>
      </c>
      <c r="B60" t="s">
        <v>12</v>
      </c>
      <c r="C60" s="1">
        <v>190825260150</v>
      </c>
      <c r="D60" t="s">
        <v>38</v>
      </c>
    </row>
    <row r="61" spans="1:4" x14ac:dyDescent="0.35">
      <c r="A61" t="s">
        <v>37</v>
      </c>
      <c r="B61" t="s">
        <v>12</v>
      </c>
      <c r="C61" s="1">
        <v>190825260064</v>
      </c>
      <c r="D61" t="s">
        <v>38</v>
      </c>
    </row>
    <row r="62" spans="1:4" x14ac:dyDescent="0.35">
      <c r="A62" t="s">
        <v>37</v>
      </c>
      <c r="B62" t="s">
        <v>39</v>
      </c>
      <c r="C62" s="1">
        <v>190825280074</v>
      </c>
      <c r="D62" t="s">
        <v>40</v>
      </c>
    </row>
    <row r="63" spans="1:4" x14ac:dyDescent="0.35">
      <c r="A63" t="s">
        <v>37</v>
      </c>
      <c r="B63" t="s">
        <v>39</v>
      </c>
      <c r="C63" s="1">
        <v>190825280159</v>
      </c>
      <c r="D63" t="s">
        <v>41</v>
      </c>
    </row>
    <row r="64" spans="1:4" x14ac:dyDescent="0.35">
      <c r="A64" t="s">
        <v>54</v>
      </c>
      <c r="B64" t="s">
        <v>9</v>
      </c>
      <c r="C64" s="1">
        <v>190825280133</v>
      </c>
      <c r="D64" t="s">
        <v>80</v>
      </c>
    </row>
    <row r="65" spans="1:4" x14ac:dyDescent="0.35">
      <c r="A65" t="s">
        <v>54</v>
      </c>
      <c r="B65" t="s">
        <v>12</v>
      </c>
      <c r="C65" s="1">
        <v>190825300009</v>
      </c>
      <c r="D65" t="s">
        <v>38</v>
      </c>
    </row>
    <row r="66" spans="1:4" x14ac:dyDescent="0.35">
      <c r="A66" t="s">
        <v>54</v>
      </c>
      <c r="B66" t="s">
        <v>26</v>
      </c>
      <c r="C66" s="1">
        <v>190825300080</v>
      </c>
    </row>
    <row r="67" spans="1:4" x14ac:dyDescent="0.35">
      <c r="A67" t="s">
        <v>54</v>
      </c>
      <c r="B67" t="s">
        <v>12</v>
      </c>
      <c r="C67" s="1">
        <v>190825300293</v>
      </c>
      <c r="D67" t="s">
        <v>38</v>
      </c>
    </row>
    <row r="68" spans="1:4" x14ac:dyDescent="0.35">
      <c r="A68" t="s">
        <v>54</v>
      </c>
      <c r="B68" t="s">
        <v>9</v>
      </c>
      <c r="C68" s="1">
        <v>190825300091</v>
      </c>
      <c r="D68" t="s">
        <v>81</v>
      </c>
    </row>
    <row r="69" spans="1:4" x14ac:dyDescent="0.35">
      <c r="A69" t="s">
        <v>54</v>
      </c>
      <c r="B69" t="s">
        <v>12</v>
      </c>
      <c r="C69" s="1">
        <v>190825300115</v>
      </c>
      <c r="D69" t="s">
        <v>38</v>
      </c>
    </row>
    <row r="70" spans="1:4" x14ac:dyDescent="0.35">
      <c r="A70" t="s">
        <v>54</v>
      </c>
      <c r="B70" t="s">
        <v>12</v>
      </c>
      <c r="C70" s="1">
        <v>190825300395</v>
      </c>
      <c r="D70" t="s">
        <v>38</v>
      </c>
    </row>
    <row r="71" spans="1:4" x14ac:dyDescent="0.35">
      <c r="A71" t="s">
        <v>54</v>
      </c>
      <c r="B71" t="s">
        <v>12</v>
      </c>
      <c r="C71" s="1">
        <v>190825300146</v>
      </c>
      <c r="D71" t="s">
        <v>38</v>
      </c>
    </row>
    <row r="72" spans="1:4" x14ac:dyDescent="0.35">
      <c r="A72" t="s">
        <v>54</v>
      </c>
      <c r="B72" t="s">
        <v>12</v>
      </c>
      <c r="C72" s="1">
        <v>190825300222</v>
      </c>
      <c r="D72" t="s">
        <v>38</v>
      </c>
    </row>
    <row r="73" spans="1:4" x14ac:dyDescent="0.35">
      <c r="A73" t="s">
        <v>54</v>
      </c>
      <c r="B73" t="s">
        <v>12</v>
      </c>
      <c r="C73" s="1">
        <v>190825300251</v>
      </c>
      <c r="D73" t="s">
        <v>38</v>
      </c>
    </row>
    <row r="74" spans="1:4" x14ac:dyDescent="0.35">
      <c r="A74" t="s">
        <v>54</v>
      </c>
      <c r="B74" t="s">
        <v>12</v>
      </c>
      <c r="C74" s="1">
        <v>190825300209</v>
      </c>
      <c r="D74" t="s">
        <v>38</v>
      </c>
    </row>
    <row r="75" spans="1:4" x14ac:dyDescent="0.35">
      <c r="A75" t="s">
        <v>54</v>
      </c>
      <c r="B75" t="s">
        <v>11</v>
      </c>
      <c r="C75" s="1">
        <v>190825280004</v>
      </c>
    </row>
    <row r="76" spans="1:4" x14ac:dyDescent="0.35">
      <c r="A76" t="s">
        <v>54</v>
      </c>
      <c r="B76" t="s">
        <v>11</v>
      </c>
      <c r="C76" s="1">
        <v>190825280048</v>
      </c>
    </row>
    <row r="77" spans="1:4" x14ac:dyDescent="0.35">
      <c r="A77" t="s">
        <v>54</v>
      </c>
      <c r="B77" t="s">
        <v>11</v>
      </c>
      <c r="C77" s="1">
        <v>190825280120</v>
      </c>
    </row>
    <row r="78" spans="1:4" x14ac:dyDescent="0.35">
      <c r="A78" t="s">
        <v>54</v>
      </c>
      <c r="B78" t="s">
        <v>11</v>
      </c>
      <c r="C78" s="1">
        <v>190825300061</v>
      </c>
    </row>
    <row r="79" spans="1:4" x14ac:dyDescent="0.35">
      <c r="A79" t="s">
        <v>54</v>
      </c>
      <c r="B79" t="s">
        <v>11</v>
      </c>
      <c r="C79" s="1">
        <v>190825300072</v>
      </c>
    </row>
    <row r="80" spans="1:4" x14ac:dyDescent="0.35">
      <c r="A80" s="13" t="s">
        <v>54</v>
      </c>
      <c r="B80" s="13" t="s">
        <v>11</v>
      </c>
      <c r="C80" s="1">
        <v>190825300092</v>
      </c>
    </row>
    <row r="81" spans="1:4" x14ac:dyDescent="0.35">
      <c r="A81" s="13" t="s">
        <v>54</v>
      </c>
      <c r="B81" s="13" t="s">
        <v>11</v>
      </c>
      <c r="C81" s="1">
        <v>190825300117</v>
      </c>
    </row>
    <row r="82" spans="1:4" x14ac:dyDescent="0.35">
      <c r="A82" t="s">
        <v>55</v>
      </c>
      <c r="B82" t="s">
        <v>12</v>
      </c>
      <c r="C82" s="1">
        <v>190825300316</v>
      </c>
    </row>
    <row r="83" spans="1:4" x14ac:dyDescent="0.35">
      <c r="A83" t="s">
        <v>55</v>
      </c>
      <c r="B83" t="s">
        <v>12</v>
      </c>
      <c r="C83" s="1">
        <v>190825300690</v>
      </c>
    </row>
    <row r="84" spans="1:4" x14ac:dyDescent="0.35">
      <c r="A84" t="s">
        <v>55</v>
      </c>
      <c r="B84" t="s">
        <v>12</v>
      </c>
      <c r="C84" s="1">
        <v>190825300676</v>
      </c>
    </row>
    <row r="85" spans="1:4" x14ac:dyDescent="0.35">
      <c r="A85" t="s">
        <v>55</v>
      </c>
      <c r="B85" t="s">
        <v>12</v>
      </c>
      <c r="C85" s="1">
        <v>190825280145</v>
      </c>
    </row>
    <row r="86" spans="1:4" x14ac:dyDescent="0.35">
      <c r="A86" t="s">
        <v>55</v>
      </c>
      <c r="B86" t="s">
        <v>12</v>
      </c>
      <c r="C86" s="1">
        <v>190825300078</v>
      </c>
    </row>
    <row r="87" spans="1:4" x14ac:dyDescent="0.35">
      <c r="A87" t="s">
        <v>55</v>
      </c>
      <c r="B87" t="s">
        <v>26</v>
      </c>
      <c r="C87" s="1">
        <v>190825300133</v>
      </c>
    </row>
    <row r="88" spans="1:4" x14ac:dyDescent="0.35">
      <c r="A88" t="s">
        <v>55</v>
      </c>
      <c r="B88" t="s">
        <v>12</v>
      </c>
      <c r="C88" s="1">
        <v>190825300137</v>
      </c>
    </row>
    <row r="89" spans="1:4" x14ac:dyDescent="0.35">
      <c r="A89" t="s">
        <v>55</v>
      </c>
      <c r="B89" t="s">
        <v>12</v>
      </c>
      <c r="C89" s="1">
        <v>190825300669</v>
      </c>
    </row>
    <row r="90" spans="1:4" x14ac:dyDescent="0.35">
      <c r="A90" t="s">
        <v>55</v>
      </c>
      <c r="B90" t="s">
        <v>12</v>
      </c>
      <c r="C90" s="1">
        <v>190825300674</v>
      </c>
    </row>
    <row r="91" spans="1:4" x14ac:dyDescent="0.35">
      <c r="A91" t="s">
        <v>56</v>
      </c>
      <c r="B91" t="s">
        <v>12</v>
      </c>
      <c r="C91" s="1">
        <v>190825300029</v>
      </c>
      <c r="D91" t="s">
        <v>38</v>
      </c>
    </row>
    <row r="92" spans="1:4" x14ac:dyDescent="0.35">
      <c r="A92" t="s">
        <v>56</v>
      </c>
      <c r="B92" t="s">
        <v>12</v>
      </c>
      <c r="C92" s="1">
        <v>190825300756</v>
      </c>
      <c r="D92" t="s">
        <v>38</v>
      </c>
    </row>
    <row r="93" spans="1:4" x14ac:dyDescent="0.35">
      <c r="A93" t="s">
        <v>56</v>
      </c>
      <c r="B93" t="s">
        <v>26</v>
      </c>
      <c r="C93" s="1">
        <v>190825300429</v>
      </c>
    </row>
    <row r="94" spans="1:4" x14ac:dyDescent="0.35">
      <c r="A94" t="s">
        <v>56</v>
      </c>
      <c r="B94" t="s">
        <v>12</v>
      </c>
      <c r="C94" s="1">
        <v>190825300409</v>
      </c>
      <c r="D94" t="s">
        <v>38</v>
      </c>
    </row>
    <row r="95" spans="1:4" x14ac:dyDescent="0.35">
      <c r="A95" t="s">
        <v>56</v>
      </c>
      <c r="B95" t="s">
        <v>12</v>
      </c>
      <c r="C95" s="1">
        <v>190825300108</v>
      </c>
      <c r="D95" t="s">
        <v>38</v>
      </c>
    </row>
    <row r="96" spans="1:4" x14ac:dyDescent="0.35">
      <c r="A96" t="s">
        <v>56</v>
      </c>
      <c r="B96" t="s">
        <v>12</v>
      </c>
      <c r="C96" s="1">
        <v>190825300097</v>
      </c>
      <c r="D96" t="s">
        <v>38</v>
      </c>
    </row>
    <row r="97" spans="1:4" x14ac:dyDescent="0.35">
      <c r="A97" t="s">
        <v>56</v>
      </c>
      <c r="B97" t="s">
        <v>12</v>
      </c>
      <c r="C97" s="1">
        <v>190825300095</v>
      </c>
      <c r="D97" t="s">
        <v>38</v>
      </c>
    </row>
    <row r="98" spans="1:4" x14ac:dyDescent="0.35">
      <c r="A98" t="s">
        <v>56</v>
      </c>
      <c r="B98" t="s">
        <v>57</v>
      </c>
      <c r="C98" s="1">
        <v>190825300077</v>
      </c>
    </row>
    <row r="99" spans="1:4" x14ac:dyDescent="0.35">
      <c r="A99" t="s">
        <v>58</v>
      </c>
      <c r="B99" s="13" t="s">
        <v>9</v>
      </c>
      <c r="C99" s="1">
        <v>190825260071</v>
      </c>
      <c r="D99" t="s">
        <v>82</v>
      </c>
    </row>
    <row r="100" spans="1:4" x14ac:dyDescent="0.35">
      <c r="A100" t="s">
        <v>58</v>
      </c>
      <c r="B100" t="s">
        <v>11</v>
      </c>
      <c r="C100" s="1">
        <v>190825300187</v>
      </c>
    </row>
    <row r="101" spans="1:4" x14ac:dyDescent="0.35">
      <c r="A101" t="s">
        <v>58</v>
      </c>
      <c r="B101" t="s">
        <v>11</v>
      </c>
      <c r="C101" s="1">
        <v>190825300683</v>
      </c>
    </row>
    <row r="102" spans="1:4" x14ac:dyDescent="0.35">
      <c r="A102" t="s">
        <v>85</v>
      </c>
      <c r="B102" t="s">
        <v>12</v>
      </c>
      <c r="C102" s="14">
        <v>190825280143</v>
      </c>
      <c r="D102" t="s">
        <v>38</v>
      </c>
    </row>
    <row r="103" spans="1:4" x14ac:dyDescent="0.35">
      <c r="A103" t="s">
        <v>85</v>
      </c>
      <c r="B103" t="s">
        <v>12</v>
      </c>
      <c r="C103" s="1">
        <v>190825280167</v>
      </c>
      <c r="D103" t="s">
        <v>38</v>
      </c>
    </row>
    <row r="104" spans="1:4" x14ac:dyDescent="0.35">
      <c r="A104" t="s">
        <v>85</v>
      </c>
      <c r="B104" t="s">
        <v>12</v>
      </c>
      <c r="C104" s="1">
        <v>190825300003</v>
      </c>
      <c r="D104" t="s">
        <v>38</v>
      </c>
    </row>
    <row r="105" spans="1:4" x14ac:dyDescent="0.35">
      <c r="A105" t="s">
        <v>85</v>
      </c>
      <c r="B105" t="s">
        <v>12</v>
      </c>
      <c r="C105" s="1">
        <v>190825300075</v>
      </c>
      <c r="D105" t="s">
        <v>38</v>
      </c>
    </row>
    <row r="106" spans="1:4" x14ac:dyDescent="0.35">
      <c r="A106" t="s">
        <v>85</v>
      </c>
      <c r="B106" t="s">
        <v>86</v>
      </c>
      <c r="C106" s="1">
        <v>190825300101</v>
      </c>
      <c r="D106" t="s">
        <v>87</v>
      </c>
    </row>
    <row r="107" spans="1:4" x14ac:dyDescent="0.35">
      <c r="A107" t="s">
        <v>85</v>
      </c>
      <c r="B107" t="s">
        <v>12</v>
      </c>
      <c r="C107" s="1">
        <v>190825300398</v>
      </c>
      <c r="D107" t="s">
        <v>38</v>
      </c>
    </row>
    <row r="108" spans="1:4" x14ac:dyDescent="0.35">
      <c r="A108" t="s">
        <v>85</v>
      </c>
      <c r="B108" t="s">
        <v>12</v>
      </c>
      <c r="C108" s="1">
        <v>190825300132</v>
      </c>
      <c r="D108" t="s">
        <v>38</v>
      </c>
    </row>
    <row r="109" spans="1:4" x14ac:dyDescent="0.35">
      <c r="A109" t="s">
        <v>85</v>
      </c>
      <c r="B109" t="s">
        <v>12</v>
      </c>
      <c r="C109" s="1">
        <v>190825300743</v>
      </c>
      <c r="D109" t="s">
        <v>38</v>
      </c>
    </row>
    <row r="110" spans="1:4" x14ac:dyDescent="0.35">
      <c r="A110" t="s">
        <v>85</v>
      </c>
      <c r="B110" t="s">
        <v>12</v>
      </c>
      <c r="C110" s="1">
        <v>190825300735</v>
      </c>
      <c r="D110" t="s">
        <v>38</v>
      </c>
    </row>
    <row r="111" spans="1:4" x14ac:dyDescent="0.35">
      <c r="A111" s="13" t="s">
        <v>85</v>
      </c>
      <c r="B111" s="13" t="s">
        <v>12</v>
      </c>
      <c r="C111" s="15">
        <v>190825300707</v>
      </c>
      <c r="D111" s="13" t="s">
        <v>38</v>
      </c>
    </row>
    <row r="112" spans="1:4" x14ac:dyDescent="0.35">
      <c r="A112" s="13" t="s">
        <v>85</v>
      </c>
      <c r="B112" s="13" t="s">
        <v>12</v>
      </c>
      <c r="C112" s="15">
        <v>190825300705</v>
      </c>
      <c r="D112" s="13" t="s">
        <v>38</v>
      </c>
    </row>
    <row r="113" spans="1:4" x14ac:dyDescent="0.35">
      <c r="A113" s="13" t="s">
        <v>85</v>
      </c>
      <c r="B113" s="13" t="s">
        <v>33</v>
      </c>
      <c r="C113" s="15">
        <v>190825300599</v>
      </c>
      <c r="D113" s="13" t="s">
        <v>88</v>
      </c>
    </row>
    <row r="114" spans="1:4" x14ac:dyDescent="0.35">
      <c r="A114" s="13" t="s">
        <v>85</v>
      </c>
      <c r="B114" s="13" t="s">
        <v>12</v>
      </c>
      <c r="C114" s="15">
        <v>190825300440</v>
      </c>
      <c r="D114" s="13" t="s">
        <v>38</v>
      </c>
    </row>
    <row r="115" spans="1:4" x14ac:dyDescent="0.35">
      <c r="A115" s="13" t="s">
        <v>85</v>
      </c>
      <c r="B115" s="13" t="s">
        <v>12</v>
      </c>
      <c r="C115" s="15">
        <v>190825300373</v>
      </c>
      <c r="D115" s="13" t="s">
        <v>38</v>
      </c>
    </row>
    <row r="116" spans="1:4" x14ac:dyDescent="0.35">
      <c r="A116" s="13" t="s">
        <v>85</v>
      </c>
      <c r="B116" t="s">
        <v>89</v>
      </c>
      <c r="C116" s="1">
        <v>190825300429</v>
      </c>
    </row>
    <row r="117" spans="1:4" x14ac:dyDescent="0.35">
      <c r="A117" s="13" t="s">
        <v>90</v>
      </c>
      <c r="B117" t="s">
        <v>57</v>
      </c>
      <c r="C117" s="1">
        <v>190825300757</v>
      </c>
      <c r="D117" t="s">
        <v>91</v>
      </c>
    </row>
    <row r="118" spans="1:4" x14ac:dyDescent="0.35">
      <c r="A118" s="13" t="s">
        <v>90</v>
      </c>
      <c r="B118" t="s">
        <v>57</v>
      </c>
      <c r="C118" s="1">
        <v>190825300704</v>
      </c>
      <c r="D118" t="s">
        <v>91</v>
      </c>
    </row>
    <row r="119" spans="1:4" x14ac:dyDescent="0.35">
      <c r="A119" t="s">
        <v>92</v>
      </c>
      <c r="B119" s="13" t="s">
        <v>9</v>
      </c>
      <c r="C119" s="1">
        <v>190825300651</v>
      </c>
      <c r="D119" t="s">
        <v>93</v>
      </c>
    </row>
    <row r="120" spans="1:4" x14ac:dyDescent="0.35">
      <c r="A120" t="s">
        <v>94</v>
      </c>
      <c r="B120" s="13" t="s">
        <v>9</v>
      </c>
      <c r="C120" s="1">
        <v>190825300640</v>
      </c>
      <c r="D120" t="s">
        <v>95</v>
      </c>
    </row>
    <row r="121" spans="1:4" x14ac:dyDescent="0.35">
      <c r="A121" t="s">
        <v>96</v>
      </c>
      <c r="B121" t="s">
        <v>28</v>
      </c>
      <c r="C121" s="1">
        <v>190825300520</v>
      </c>
    </row>
    <row r="122" spans="1:4" x14ac:dyDescent="0.35">
      <c r="A122" t="s">
        <v>94</v>
      </c>
      <c r="B122" t="s">
        <v>4</v>
      </c>
      <c r="C122" s="1">
        <v>190825300446</v>
      </c>
      <c r="D122" t="s">
        <v>61</v>
      </c>
    </row>
    <row r="123" spans="1:4" x14ac:dyDescent="0.35">
      <c r="A123" t="s">
        <v>97</v>
      </c>
      <c r="B123" t="s">
        <v>28</v>
      </c>
      <c r="C123" s="1">
        <v>190825300520</v>
      </c>
    </row>
    <row r="124" spans="1:4" x14ac:dyDescent="0.35">
      <c r="A124" t="s">
        <v>97</v>
      </c>
      <c r="B124" t="s">
        <v>98</v>
      </c>
      <c r="C124" s="1">
        <v>190825340947</v>
      </c>
      <c r="D124" t="s">
        <v>99</v>
      </c>
    </row>
    <row r="125" spans="1:4" x14ac:dyDescent="0.35">
      <c r="A125" t="s">
        <v>97</v>
      </c>
      <c r="B125" t="s">
        <v>100</v>
      </c>
      <c r="C125" s="1">
        <v>190825340559</v>
      </c>
    </row>
    <row r="126" spans="1:4" x14ac:dyDescent="0.35">
      <c r="A126" t="s">
        <v>97</v>
      </c>
      <c r="B126" t="s">
        <v>12</v>
      </c>
      <c r="C126" s="16">
        <v>190825300557</v>
      </c>
    </row>
    <row r="127" spans="1:4" x14ac:dyDescent="0.35">
      <c r="A127" t="s">
        <v>97</v>
      </c>
      <c r="B127" t="s">
        <v>98</v>
      </c>
      <c r="C127" s="1">
        <v>190825300556</v>
      </c>
    </row>
    <row r="128" spans="1:4" x14ac:dyDescent="0.35">
      <c r="A128" t="s">
        <v>97</v>
      </c>
      <c r="B128" t="s">
        <v>98</v>
      </c>
      <c r="C128" s="1">
        <v>190825300334</v>
      </c>
    </row>
    <row r="129" spans="1:3" x14ac:dyDescent="0.35">
      <c r="A129" t="s">
        <v>97</v>
      </c>
      <c r="B129" t="s">
        <v>98</v>
      </c>
      <c r="C129" s="1">
        <v>190825300253</v>
      </c>
    </row>
    <row r="130" spans="1:3" x14ac:dyDescent="0.35">
      <c r="A130" t="s">
        <v>101</v>
      </c>
      <c r="B130" t="s">
        <v>98</v>
      </c>
      <c r="C130" s="1">
        <v>190825340559</v>
      </c>
    </row>
    <row r="131" spans="1:3" x14ac:dyDescent="0.35">
      <c r="A131" t="s">
        <v>101</v>
      </c>
      <c r="B131" t="s">
        <v>98</v>
      </c>
      <c r="C131" s="1">
        <v>190825340947</v>
      </c>
    </row>
    <row r="132" spans="1:3" x14ac:dyDescent="0.35">
      <c r="A132" t="s">
        <v>101</v>
      </c>
      <c r="B132" t="s">
        <v>98</v>
      </c>
      <c r="C132" s="1">
        <v>190825300334</v>
      </c>
    </row>
    <row r="133" spans="1:3" x14ac:dyDescent="0.35">
      <c r="A133" s="13" t="s">
        <v>101</v>
      </c>
      <c r="B133" t="s">
        <v>98</v>
      </c>
      <c r="C133" s="1">
        <v>190825300738</v>
      </c>
    </row>
    <row r="134" spans="1:3" x14ac:dyDescent="0.35">
      <c r="A134" s="13" t="s">
        <v>101</v>
      </c>
      <c r="B134" t="s">
        <v>98</v>
      </c>
      <c r="C134" s="1">
        <v>190825300446</v>
      </c>
    </row>
    <row r="135" spans="1:3" x14ac:dyDescent="0.35">
      <c r="A135" t="s">
        <v>102</v>
      </c>
      <c r="B135" s="13" t="s">
        <v>12</v>
      </c>
      <c r="C135" s="1">
        <v>190825341003</v>
      </c>
    </row>
    <row r="136" spans="1:3" x14ac:dyDescent="0.35">
      <c r="A136" t="s">
        <v>102</v>
      </c>
      <c r="B136" t="s">
        <v>11</v>
      </c>
      <c r="C136" s="1">
        <v>190825340629</v>
      </c>
    </row>
    <row r="137" spans="1:3" x14ac:dyDescent="0.35">
      <c r="A137" t="s">
        <v>102</v>
      </c>
      <c r="B137" t="s">
        <v>11</v>
      </c>
      <c r="C137" s="1">
        <v>190825340714</v>
      </c>
    </row>
    <row r="138" spans="1:3" x14ac:dyDescent="0.35">
      <c r="A138" t="s">
        <v>102</v>
      </c>
      <c r="B138" t="s">
        <v>86</v>
      </c>
      <c r="C138" s="1">
        <v>190825340740</v>
      </c>
    </row>
    <row r="139" spans="1:3" x14ac:dyDescent="0.35">
      <c r="A139" t="s">
        <v>102</v>
      </c>
      <c r="B139" t="s">
        <v>11</v>
      </c>
      <c r="C139" s="1">
        <v>190825340848</v>
      </c>
    </row>
    <row r="140" spans="1:3" x14ac:dyDescent="0.35">
      <c r="A140" t="s">
        <v>102</v>
      </c>
      <c r="B140" s="13" t="s">
        <v>12</v>
      </c>
      <c r="C140" s="1">
        <v>190825340859</v>
      </c>
    </row>
    <row r="141" spans="1:3" x14ac:dyDescent="0.35">
      <c r="A141" t="s">
        <v>102</v>
      </c>
      <c r="B141" t="s">
        <v>100</v>
      </c>
      <c r="C141" s="1">
        <v>190825340997</v>
      </c>
    </row>
    <row r="142" spans="1:3" x14ac:dyDescent="0.35">
      <c r="A142" t="s">
        <v>103</v>
      </c>
      <c r="B142" s="13" t="s">
        <v>7</v>
      </c>
      <c r="C142" s="1">
        <v>190825340926</v>
      </c>
    </row>
    <row r="143" spans="1:3" x14ac:dyDescent="0.35">
      <c r="A143" t="s">
        <v>103</v>
      </c>
      <c r="B143" s="13" t="s">
        <v>7</v>
      </c>
      <c r="C143" s="1">
        <v>190825340951</v>
      </c>
    </row>
    <row r="144" spans="1:3" x14ac:dyDescent="0.35">
      <c r="A144" t="s">
        <v>103</v>
      </c>
      <c r="B144" t="s">
        <v>11</v>
      </c>
      <c r="C144" s="1">
        <v>190825340702</v>
      </c>
    </row>
    <row r="145" spans="1:3" x14ac:dyDescent="0.35">
      <c r="A145" t="s">
        <v>103</v>
      </c>
      <c r="B145" t="s">
        <v>11</v>
      </c>
      <c r="C145" s="1">
        <v>190825340999</v>
      </c>
    </row>
    <row r="146" spans="1:3" x14ac:dyDescent="0.35">
      <c r="A146" t="s">
        <v>103</v>
      </c>
      <c r="B146" t="s">
        <v>11</v>
      </c>
      <c r="C146" s="1">
        <v>190825340917</v>
      </c>
    </row>
    <row r="147" spans="1:3" x14ac:dyDescent="0.35">
      <c r="A147" t="s">
        <v>103</v>
      </c>
      <c r="B147" t="s">
        <v>11</v>
      </c>
      <c r="C147" s="1">
        <v>190825260631</v>
      </c>
    </row>
    <row r="148" spans="1:3" x14ac:dyDescent="0.35">
      <c r="A148" t="s">
        <v>103</v>
      </c>
      <c r="B148" t="s">
        <v>11</v>
      </c>
      <c r="C148" s="1">
        <v>190825340762</v>
      </c>
    </row>
    <row r="149" spans="1:3" x14ac:dyDescent="0.35">
      <c r="A149" t="s">
        <v>104</v>
      </c>
      <c r="B149" t="s">
        <v>11</v>
      </c>
      <c r="C149" s="1">
        <v>190825350168</v>
      </c>
    </row>
    <row r="150" spans="1:3" x14ac:dyDescent="0.35">
      <c r="A150" t="s">
        <v>104</v>
      </c>
      <c r="B150" t="s">
        <v>11</v>
      </c>
      <c r="C150" s="1">
        <v>190825340588</v>
      </c>
    </row>
    <row r="151" spans="1:3" x14ac:dyDescent="0.35">
      <c r="A151" t="s">
        <v>104</v>
      </c>
      <c r="B151" t="s">
        <v>11</v>
      </c>
      <c r="C151" s="1">
        <v>190825340545</v>
      </c>
    </row>
    <row r="152" spans="1:3" x14ac:dyDescent="0.35">
      <c r="A152" t="s">
        <v>104</v>
      </c>
      <c r="B152" t="s">
        <v>11</v>
      </c>
      <c r="C152" s="1">
        <v>190825350066</v>
      </c>
    </row>
    <row r="153" spans="1:3" x14ac:dyDescent="0.35">
      <c r="A153" t="s">
        <v>104</v>
      </c>
      <c r="B153" t="s">
        <v>11</v>
      </c>
      <c r="C153" s="1">
        <v>190825340729</v>
      </c>
    </row>
    <row r="154" spans="1:3" x14ac:dyDescent="0.35">
      <c r="A154" t="s">
        <v>105</v>
      </c>
      <c r="B154" t="s">
        <v>100</v>
      </c>
      <c r="C154" s="1">
        <v>190825340834</v>
      </c>
    </row>
    <row r="155" spans="1:3" x14ac:dyDescent="0.35">
      <c r="A155" t="s">
        <v>105</v>
      </c>
      <c r="B155" t="s">
        <v>100</v>
      </c>
      <c r="C155" s="1">
        <v>190825340890</v>
      </c>
    </row>
    <row r="156" spans="1:3" x14ac:dyDescent="0.35">
      <c r="A156" t="s">
        <v>105</v>
      </c>
      <c r="B156" t="s">
        <v>100</v>
      </c>
      <c r="C156" s="1">
        <v>190825340535</v>
      </c>
    </row>
    <row r="157" spans="1:3" x14ac:dyDescent="0.35">
      <c r="A157" t="s">
        <v>105</v>
      </c>
      <c r="B157" s="13" t="s">
        <v>9</v>
      </c>
      <c r="C157" s="1">
        <v>190825340734</v>
      </c>
    </row>
    <row r="158" spans="1:3" x14ac:dyDescent="0.35">
      <c r="A158" t="s">
        <v>105</v>
      </c>
      <c r="B158" t="s">
        <v>86</v>
      </c>
      <c r="C158" s="1">
        <v>190825300513</v>
      </c>
    </row>
    <row r="159" spans="1:3" x14ac:dyDescent="0.35">
      <c r="A159" t="s">
        <v>105</v>
      </c>
      <c r="B159" t="s">
        <v>100</v>
      </c>
      <c r="C159" s="1">
        <v>190825340555</v>
      </c>
    </row>
    <row r="160" spans="1:3" x14ac:dyDescent="0.35">
      <c r="A160" t="s">
        <v>106</v>
      </c>
      <c r="B160" s="13" t="s">
        <v>9</v>
      </c>
      <c r="C160" s="1">
        <v>190825350002</v>
      </c>
    </row>
    <row r="161" spans="1:3" x14ac:dyDescent="0.35">
      <c r="A161" t="s">
        <v>106</v>
      </c>
      <c r="B161" s="13" t="s">
        <v>7</v>
      </c>
      <c r="C161" s="1">
        <v>190825350119</v>
      </c>
    </row>
    <row r="162" spans="1:3" x14ac:dyDescent="0.35">
      <c r="A162" t="s">
        <v>106</v>
      </c>
      <c r="B162" s="13" t="s">
        <v>57</v>
      </c>
      <c r="C162" s="1">
        <v>190825340985</v>
      </c>
    </row>
    <row r="163" spans="1:3" x14ac:dyDescent="0.35">
      <c r="A163" t="s">
        <v>106</v>
      </c>
      <c r="B163" s="13" t="s">
        <v>9</v>
      </c>
      <c r="C163" s="1">
        <v>190825350125</v>
      </c>
    </row>
    <row r="164" spans="1:3" x14ac:dyDescent="0.35">
      <c r="A164" t="s">
        <v>106</v>
      </c>
      <c r="B164" t="s">
        <v>98</v>
      </c>
      <c r="C164" s="1">
        <v>190825350051</v>
      </c>
    </row>
    <row r="165" spans="1:3" x14ac:dyDescent="0.35">
      <c r="A165" t="s">
        <v>106</v>
      </c>
      <c r="B165" s="13" t="s">
        <v>11</v>
      </c>
      <c r="C165" s="1">
        <v>190825340773</v>
      </c>
    </row>
    <row r="166" spans="1:3" x14ac:dyDescent="0.35">
      <c r="A166" t="s">
        <v>106</v>
      </c>
      <c r="B166" s="13" t="s">
        <v>9</v>
      </c>
      <c r="C166" s="1">
        <v>190825340923</v>
      </c>
    </row>
    <row r="167" spans="1:3" x14ac:dyDescent="0.35">
      <c r="A167" t="s">
        <v>106</v>
      </c>
      <c r="B167" s="13" t="s">
        <v>57</v>
      </c>
      <c r="C167" s="1">
        <v>190825260473</v>
      </c>
    </row>
    <row r="168" spans="1:3" x14ac:dyDescent="0.35">
      <c r="A168" t="s">
        <v>106</v>
      </c>
      <c r="B168" s="13" t="s">
        <v>11</v>
      </c>
      <c r="C168" s="1">
        <v>190825260144</v>
      </c>
    </row>
    <row r="169" spans="1:3" x14ac:dyDescent="0.35">
      <c r="A169" t="s">
        <v>106</v>
      </c>
      <c r="B169" s="13" t="s">
        <v>11</v>
      </c>
      <c r="C169" s="1">
        <v>190825350482</v>
      </c>
    </row>
    <row r="170" spans="1:3" x14ac:dyDescent="0.35">
      <c r="A170" t="s">
        <v>106</v>
      </c>
      <c r="B170" s="13" t="s">
        <v>11</v>
      </c>
      <c r="C170" s="1">
        <v>190825350234</v>
      </c>
    </row>
    <row r="171" spans="1:3" x14ac:dyDescent="0.35">
      <c r="A171" t="s">
        <v>106</v>
      </c>
      <c r="B171" s="13" t="s">
        <v>11</v>
      </c>
      <c r="C171" s="1">
        <v>190825350191</v>
      </c>
    </row>
    <row r="172" spans="1:3" x14ac:dyDescent="0.35">
      <c r="A172" t="s">
        <v>108</v>
      </c>
      <c r="B172" t="s">
        <v>9</v>
      </c>
      <c r="C172" s="1">
        <v>190825340930</v>
      </c>
    </row>
    <row r="173" spans="1:3" x14ac:dyDescent="0.35">
      <c r="A173" t="s">
        <v>108</v>
      </c>
      <c r="B173" t="s">
        <v>86</v>
      </c>
      <c r="C173" s="1">
        <v>190825300513</v>
      </c>
    </row>
    <row r="174" spans="1:3" x14ac:dyDescent="0.35">
      <c r="A174" t="s">
        <v>107</v>
      </c>
      <c r="B174" s="13" t="s">
        <v>7</v>
      </c>
      <c r="C174" s="1">
        <v>190825350604</v>
      </c>
    </row>
    <row r="175" spans="1:3" x14ac:dyDescent="0.35">
      <c r="A175" t="s">
        <v>107</v>
      </c>
      <c r="B175" s="13" t="s">
        <v>7</v>
      </c>
      <c r="C175" s="1">
        <v>190825350135</v>
      </c>
    </row>
    <row r="176" spans="1:3" x14ac:dyDescent="0.35">
      <c r="A176" t="s">
        <v>107</v>
      </c>
      <c r="B176" t="s">
        <v>11</v>
      </c>
      <c r="C176" s="1">
        <v>190825350551</v>
      </c>
    </row>
    <row r="177" spans="1:4" x14ac:dyDescent="0.35">
      <c r="A177" t="s">
        <v>107</v>
      </c>
      <c r="B177" t="s">
        <v>98</v>
      </c>
      <c r="C177" s="1">
        <v>190825350545</v>
      </c>
    </row>
    <row r="178" spans="1:4" x14ac:dyDescent="0.35">
      <c r="A178" t="s">
        <v>111</v>
      </c>
      <c r="B178" s="13" t="s">
        <v>7</v>
      </c>
      <c r="C178" s="1">
        <v>190825340930</v>
      </c>
    </row>
    <row r="179" spans="1:4" x14ac:dyDescent="0.35">
      <c r="A179" t="s">
        <v>111</v>
      </c>
      <c r="B179" t="s">
        <v>57</v>
      </c>
      <c r="C179" s="1">
        <v>190825350390</v>
      </c>
    </row>
    <row r="180" spans="1:4" x14ac:dyDescent="0.35">
      <c r="A180" t="s">
        <v>111</v>
      </c>
      <c r="B180" t="s">
        <v>98</v>
      </c>
      <c r="C180" s="1">
        <v>190825350598</v>
      </c>
    </row>
    <row r="181" spans="1:4" x14ac:dyDescent="0.35">
      <c r="A181" t="s">
        <v>111</v>
      </c>
      <c r="B181" s="13" t="s">
        <v>9</v>
      </c>
      <c r="C181" s="1">
        <v>190825340939</v>
      </c>
      <c r="D181" t="s">
        <v>110</v>
      </c>
    </row>
    <row r="182" spans="1:4" x14ac:dyDescent="0.35">
      <c r="A182" t="s">
        <v>112</v>
      </c>
      <c r="B182" s="13" t="s">
        <v>12</v>
      </c>
      <c r="C182" s="1">
        <v>190825350656</v>
      </c>
    </row>
    <row r="183" spans="1:4" x14ac:dyDescent="0.35">
      <c r="A183" t="s">
        <v>112</v>
      </c>
      <c r="B183" t="s">
        <v>86</v>
      </c>
      <c r="C183" s="1">
        <v>190825350345</v>
      </c>
    </row>
    <row r="184" spans="1:4" x14ac:dyDescent="0.35">
      <c r="A184" t="s">
        <v>112</v>
      </c>
      <c r="B184" s="13" t="s">
        <v>12</v>
      </c>
      <c r="C184" s="1">
        <v>190825350305</v>
      </c>
    </row>
    <row r="185" spans="1:4" x14ac:dyDescent="0.35">
      <c r="A185" t="s">
        <v>112</v>
      </c>
      <c r="B185" s="13" t="s">
        <v>11</v>
      </c>
      <c r="C185" s="1">
        <v>190825300341</v>
      </c>
    </row>
    <row r="186" spans="1:4" x14ac:dyDescent="0.35">
      <c r="A186" t="s">
        <v>112</v>
      </c>
      <c r="B186" s="13" t="s">
        <v>12</v>
      </c>
      <c r="C186" s="1">
        <v>190825260165</v>
      </c>
    </row>
    <row r="187" spans="1:4" x14ac:dyDescent="0.35">
      <c r="A187" t="s">
        <v>113</v>
      </c>
      <c r="B187" s="13" t="s">
        <v>12</v>
      </c>
      <c r="C187" s="1">
        <v>190825350136</v>
      </c>
    </row>
    <row r="188" spans="1:4" x14ac:dyDescent="0.35">
      <c r="A188" t="s">
        <v>113</v>
      </c>
      <c r="B188" s="13" t="s">
        <v>11</v>
      </c>
      <c r="C188" s="1">
        <v>190825370174</v>
      </c>
    </row>
    <row r="189" spans="1:4" x14ac:dyDescent="0.35">
      <c r="A189" t="s">
        <v>113</v>
      </c>
      <c r="B189" s="13" t="s">
        <v>12</v>
      </c>
      <c r="C189" s="1">
        <v>190825370067</v>
      </c>
    </row>
    <row r="190" spans="1:4" x14ac:dyDescent="0.35">
      <c r="A190" t="s">
        <v>109</v>
      </c>
      <c r="B190" t="s">
        <v>28</v>
      </c>
      <c r="C190" s="1">
        <v>190825350622</v>
      </c>
    </row>
    <row r="191" spans="1:4" x14ac:dyDescent="0.35">
      <c r="A191" t="s">
        <v>109</v>
      </c>
      <c r="B191" t="s">
        <v>86</v>
      </c>
      <c r="C191" s="1">
        <v>190825350178</v>
      </c>
    </row>
    <row r="192" spans="1:4" x14ac:dyDescent="0.35">
      <c r="A192" t="s">
        <v>109</v>
      </c>
      <c r="B192" s="13" t="s">
        <v>12</v>
      </c>
      <c r="C192" s="1">
        <v>190825350498</v>
      </c>
    </row>
    <row r="193" spans="1:4" x14ac:dyDescent="0.35">
      <c r="A193" t="s">
        <v>109</v>
      </c>
      <c r="B193" t="s">
        <v>86</v>
      </c>
      <c r="C193" s="1">
        <v>190825370054</v>
      </c>
    </row>
    <row r="194" spans="1:4" x14ac:dyDescent="0.35">
      <c r="A194" t="s">
        <v>109</v>
      </c>
      <c r="B194" s="13" t="s">
        <v>12</v>
      </c>
      <c r="C194" s="1">
        <v>190825350097</v>
      </c>
    </row>
    <row r="195" spans="1:4" x14ac:dyDescent="0.35">
      <c r="A195" t="s">
        <v>109</v>
      </c>
      <c r="B195" t="s">
        <v>26</v>
      </c>
      <c r="C195" s="1">
        <v>190825350004</v>
      </c>
    </row>
    <row r="196" spans="1:4" x14ac:dyDescent="0.35">
      <c r="A196" t="s">
        <v>114</v>
      </c>
      <c r="B196" s="13" t="s">
        <v>12</v>
      </c>
      <c r="C196" s="1">
        <v>190825370431</v>
      </c>
    </row>
    <row r="197" spans="1:4" x14ac:dyDescent="0.35">
      <c r="A197" t="s">
        <v>114</v>
      </c>
      <c r="B197" s="13" t="s">
        <v>12</v>
      </c>
      <c r="C197" s="1">
        <v>190825370309</v>
      </c>
    </row>
    <row r="198" spans="1:4" x14ac:dyDescent="0.35">
      <c r="A198" t="s">
        <v>115</v>
      </c>
      <c r="B198" t="s">
        <v>11</v>
      </c>
      <c r="C198" s="1">
        <v>190825370838</v>
      </c>
    </row>
    <row r="199" spans="1:4" x14ac:dyDescent="0.35">
      <c r="A199" t="s">
        <v>115</v>
      </c>
      <c r="B199" s="13" t="s">
        <v>12</v>
      </c>
      <c r="C199" s="1">
        <v>190825370892</v>
      </c>
    </row>
    <row r="200" spans="1:4" x14ac:dyDescent="0.35">
      <c r="A200" t="s">
        <v>115</v>
      </c>
    </row>
    <row r="201" spans="1:4" x14ac:dyDescent="0.35">
      <c r="A201" t="s">
        <v>115</v>
      </c>
    </row>
    <row r="202" spans="1:4" x14ac:dyDescent="0.35">
      <c r="A202" t="s">
        <v>116</v>
      </c>
      <c r="B202" t="s">
        <v>11</v>
      </c>
      <c r="C202" s="1">
        <v>190825370826</v>
      </c>
    </row>
    <row r="203" spans="1:4" x14ac:dyDescent="0.35">
      <c r="A203" t="s">
        <v>117</v>
      </c>
      <c r="B203" s="13" t="s">
        <v>7</v>
      </c>
      <c r="C203" s="1">
        <v>190825370817</v>
      </c>
    </row>
    <row r="204" spans="1:4" x14ac:dyDescent="0.35">
      <c r="A204" t="s">
        <v>117</v>
      </c>
      <c r="B204" t="s">
        <v>11</v>
      </c>
      <c r="C204" s="1">
        <v>190825370328</v>
      </c>
    </row>
    <row r="205" spans="1:4" x14ac:dyDescent="0.35">
      <c r="A205" t="s">
        <v>117</v>
      </c>
      <c r="B205" s="13" t="s">
        <v>9</v>
      </c>
      <c r="C205" s="1">
        <v>190825370817</v>
      </c>
      <c r="D205" t="s">
        <v>118</v>
      </c>
    </row>
    <row r="206" spans="1:4" x14ac:dyDescent="0.35">
      <c r="A206" t="s">
        <v>117</v>
      </c>
      <c r="B206" s="13" t="s">
        <v>9</v>
      </c>
      <c r="C206" s="1">
        <v>190825380003</v>
      </c>
      <c r="D206" t="s">
        <v>118</v>
      </c>
    </row>
    <row r="207" spans="1:4" x14ac:dyDescent="0.35">
      <c r="A207" t="s">
        <v>117</v>
      </c>
      <c r="B207" t="s">
        <v>11</v>
      </c>
      <c r="C207" s="1">
        <v>190825370328</v>
      </c>
    </row>
    <row r="208" spans="1:4" x14ac:dyDescent="0.35">
      <c r="A208" t="s">
        <v>117</v>
      </c>
      <c r="B208" s="13" t="s">
        <v>7</v>
      </c>
      <c r="C208" s="1">
        <v>190825340939</v>
      </c>
      <c r="D208" t="s">
        <v>78</v>
      </c>
    </row>
    <row r="209" spans="1:4" x14ac:dyDescent="0.35">
      <c r="A209" t="s">
        <v>117</v>
      </c>
      <c r="B209" t="s">
        <v>11</v>
      </c>
      <c r="C209" s="1">
        <v>190825370174</v>
      </c>
    </row>
    <row r="210" spans="1:4" x14ac:dyDescent="0.35">
      <c r="A210" t="s">
        <v>117</v>
      </c>
      <c r="B210" s="13" t="s">
        <v>7</v>
      </c>
      <c r="C210" s="1">
        <v>190825340939</v>
      </c>
    </row>
    <row r="211" spans="1:4" x14ac:dyDescent="0.35">
      <c r="A211" t="s">
        <v>119</v>
      </c>
      <c r="B211" t="s">
        <v>11</v>
      </c>
      <c r="C211" s="1">
        <v>190825370780</v>
      </c>
    </row>
    <row r="212" spans="1:4" x14ac:dyDescent="0.35">
      <c r="A212" t="s">
        <v>119</v>
      </c>
      <c r="B212" t="s">
        <v>11</v>
      </c>
      <c r="C212" s="1">
        <v>190825370927</v>
      </c>
    </row>
    <row r="213" spans="1:4" x14ac:dyDescent="0.35">
      <c r="A213" t="s">
        <v>119</v>
      </c>
      <c r="B213" t="s">
        <v>11</v>
      </c>
      <c r="C213" s="1">
        <v>190825300074</v>
      </c>
    </row>
    <row r="214" spans="1:4" x14ac:dyDescent="0.35">
      <c r="A214" t="s">
        <v>119</v>
      </c>
      <c r="B214" s="13" t="s">
        <v>12</v>
      </c>
      <c r="C214" s="1">
        <v>190825370706</v>
      </c>
      <c r="D214" t="s">
        <v>120</v>
      </c>
    </row>
    <row r="215" spans="1:4" x14ac:dyDescent="0.35">
      <c r="A215" t="s">
        <v>119</v>
      </c>
      <c r="B215" t="s">
        <v>11</v>
      </c>
      <c r="C215" s="1">
        <v>190825260717</v>
      </c>
    </row>
    <row r="216" spans="1:4" x14ac:dyDescent="0.35">
      <c r="A216" t="s">
        <v>119</v>
      </c>
      <c r="B216" s="13" t="s">
        <v>9</v>
      </c>
      <c r="C216" s="1">
        <v>190825370910</v>
      </c>
      <c r="D216" t="s">
        <v>121</v>
      </c>
    </row>
    <row r="217" spans="1:4" x14ac:dyDescent="0.35">
      <c r="A217" t="s">
        <v>119</v>
      </c>
      <c r="B217" t="s">
        <v>12</v>
      </c>
      <c r="C217" s="1">
        <v>190825371078</v>
      </c>
      <c r="D217" t="s">
        <v>122</v>
      </c>
    </row>
    <row r="218" spans="1:4" x14ac:dyDescent="0.35">
      <c r="A218" t="s">
        <v>123</v>
      </c>
      <c r="B218" t="s">
        <v>100</v>
      </c>
      <c r="C218" s="1">
        <v>190825380096</v>
      </c>
      <c r="D218" t="s">
        <v>124</v>
      </c>
    </row>
    <row r="219" spans="1:4" x14ac:dyDescent="0.35">
      <c r="A219" t="s">
        <v>125</v>
      </c>
      <c r="B219" t="s">
        <v>11</v>
      </c>
      <c r="C219" s="1">
        <v>190825370978</v>
      </c>
    </row>
    <row r="220" spans="1:4" x14ac:dyDescent="0.35">
      <c r="A220" t="s">
        <v>126</v>
      </c>
      <c r="B220" t="s">
        <v>12</v>
      </c>
      <c r="C220" s="1">
        <v>190825380370</v>
      </c>
      <c r="D220" t="s">
        <v>127</v>
      </c>
    </row>
    <row r="221" spans="1:4" x14ac:dyDescent="0.35">
      <c r="A221" t="s">
        <v>126</v>
      </c>
      <c r="B221" t="s">
        <v>11</v>
      </c>
      <c r="C221" s="1">
        <v>190825380397</v>
      </c>
    </row>
    <row r="222" spans="1:4" x14ac:dyDescent="0.35">
      <c r="A222" t="s">
        <v>126</v>
      </c>
      <c r="B222" t="s">
        <v>11</v>
      </c>
      <c r="C222" s="1">
        <v>190825370857</v>
      </c>
    </row>
    <row r="223" spans="1:4" x14ac:dyDescent="0.35">
      <c r="A223" t="s">
        <v>126</v>
      </c>
      <c r="B223" t="s">
        <v>12</v>
      </c>
      <c r="C223" s="1">
        <v>190825380370</v>
      </c>
      <c r="D223" t="s">
        <v>127</v>
      </c>
    </row>
    <row r="224" spans="1:4" x14ac:dyDescent="0.35">
      <c r="A224" t="s">
        <v>126</v>
      </c>
      <c r="B224" t="s">
        <v>100</v>
      </c>
      <c r="C224" s="1">
        <v>190825370223</v>
      </c>
    </row>
    <row r="225" spans="1:4" x14ac:dyDescent="0.35">
      <c r="A225" t="s">
        <v>126</v>
      </c>
      <c r="B225" t="s">
        <v>11</v>
      </c>
      <c r="C225" s="1">
        <v>190825380276</v>
      </c>
    </row>
    <row r="226" spans="1:4" x14ac:dyDescent="0.35">
      <c r="A226" t="s">
        <v>126</v>
      </c>
      <c r="B226" t="s">
        <v>11</v>
      </c>
      <c r="C226" s="1">
        <v>190825380298</v>
      </c>
    </row>
    <row r="227" spans="1:4" x14ac:dyDescent="0.35">
      <c r="A227" t="s">
        <v>126</v>
      </c>
      <c r="B227" s="13" t="s">
        <v>7</v>
      </c>
      <c r="C227" s="1">
        <v>190825370741</v>
      </c>
      <c r="D227" t="s">
        <v>60</v>
      </c>
    </row>
    <row r="228" spans="1:4" x14ac:dyDescent="0.35">
      <c r="A228" t="s">
        <v>126</v>
      </c>
      <c r="B228" t="s">
        <v>86</v>
      </c>
      <c r="C228" s="1">
        <v>190825300513</v>
      </c>
    </row>
    <row r="229" spans="1:4" x14ac:dyDescent="0.35">
      <c r="A229" t="s">
        <v>126</v>
      </c>
      <c r="B229" t="s">
        <v>11</v>
      </c>
      <c r="C229" s="1">
        <v>190825380366</v>
      </c>
    </row>
    <row r="230" spans="1:4" x14ac:dyDescent="0.35">
      <c r="A230" t="s">
        <v>126</v>
      </c>
      <c r="B230" t="s">
        <v>11</v>
      </c>
      <c r="C230" s="1">
        <v>190825370978</v>
      </c>
    </row>
    <row r="231" spans="1:4" x14ac:dyDescent="0.35">
      <c r="A231" t="s">
        <v>128</v>
      </c>
      <c r="B231" s="13" t="s">
        <v>9</v>
      </c>
      <c r="C231" s="1">
        <v>190825380364</v>
      </c>
      <c r="D231" t="s">
        <v>129</v>
      </c>
    </row>
    <row r="232" spans="1:4" x14ac:dyDescent="0.35">
      <c r="A232" t="s">
        <v>126</v>
      </c>
      <c r="B232" t="s">
        <v>12</v>
      </c>
      <c r="C232" s="1">
        <v>190825370727</v>
      </c>
    </row>
    <row r="233" spans="1:4" x14ac:dyDescent="0.35">
      <c r="A233" t="s">
        <v>130</v>
      </c>
      <c r="B233" s="13" t="s">
        <v>9</v>
      </c>
      <c r="C233" s="1">
        <v>190825380324</v>
      </c>
      <c r="D233" t="s">
        <v>139</v>
      </c>
    </row>
    <row r="234" spans="1:4" x14ac:dyDescent="0.35">
      <c r="A234" t="s">
        <v>130</v>
      </c>
      <c r="B234" t="s">
        <v>11</v>
      </c>
      <c r="C234" s="1">
        <v>190825370143</v>
      </c>
    </row>
    <row r="235" spans="1:4" x14ac:dyDescent="0.35">
      <c r="A235" t="s">
        <v>130</v>
      </c>
      <c r="B235" t="s">
        <v>11</v>
      </c>
      <c r="C235" s="1">
        <v>190825370089</v>
      </c>
    </row>
    <row r="236" spans="1:4" x14ac:dyDescent="0.35">
      <c r="A236" t="s">
        <v>130</v>
      </c>
      <c r="B236" t="s">
        <v>11</v>
      </c>
      <c r="C236" s="1">
        <v>190825370051</v>
      </c>
    </row>
    <row r="237" spans="1:4" x14ac:dyDescent="0.35">
      <c r="A237" t="s">
        <v>130</v>
      </c>
      <c r="B237" t="s">
        <v>11</v>
      </c>
      <c r="C237" s="1">
        <v>190825380495</v>
      </c>
    </row>
    <row r="238" spans="1:4" x14ac:dyDescent="0.35">
      <c r="A238" t="s">
        <v>130</v>
      </c>
      <c r="B238" t="s">
        <v>12</v>
      </c>
      <c r="C238" s="1">
        <v>190825370869</v>
      </c>
      <c r="D238" t="s">
        <v>120</v>
      </c>
    </row>
    <row r="239" spans="1:4" x14ac:dyDescent="0.35">
      <c r="A239" t="s">
        <v>131</v>
      </c>
      <c r="B239" t="s">
        <v>11</v>
      </c>
      <c r="C239" s="1">
        <v>190825371007</v>
      </c>
    </row>
    <row r="240" spans="1:4" x14ac:dyDescent="0.35">
      <c r="A240" t="s">
        <v>131</v>
      </c>
      <c r="B240" t="s">
        <v>100</v>
      </c>
      <c r="C240" s="1">
        <v>190825370859</v>
      </c>
      <c r="D240" t="s">
        <v>132</v>
      </c>
    </row>
    <row r="241" spans="1:14" x14ac:dyDescent="0.35">
      <c r="A241" t="s">
        <v>133</v>
      </c>
      <c r="B241" s="13" t="s">
        <v>9</v>
      </c>
      <c r="C241" s="1">
        <v>190825371008</v>
      </c>
      <c r="D241" t="s">
        <v>134</v>
      </c>
    </row>
    <row r="242" spans="1:14" x14ac:dyDescent="0.35">
      <c r="A242" t="s">
        <v>133</v>
      </c>
      <c r="B242" s="13" t="s">
        <v>9</v>
      </c>
      <c r="C242" s="1">
        <v>190825380451</v>
      </c>
      <c r="D242" t="s">
        <v>135</v>
      </c>
    </row>
    <row r="243" spans="1:14" x14ac:dyDescent="0.35">
      <c r="A243" t="s">
        <v>133</v>
      </c>
      <c r="B243" s="13" t="s">
        <v>9</v>
      </c>
      <c r="C243" s="1">
        <v>190825380180</v>
      </c>
      <c r="D243" t="s">
        <v>136</v>
      </c>
    </row>
    <row r="244" spans="1:14" x14ac:dyDescent="0.35">
      <c r="A244" t="s">
        <v>138</v>
      </c>
      <c r="B244" s="13" t="s">
        <v>9</v>
      </c>
      <c r="C244" s="1">
        <v>190825370043</v>
      </c>
      <c r="D244" t="s">
        <v>137</v>
      </c>
    </row>
    <row r="245" spans="1:14" x14ac:dyDescent="0.35">
      <c r="A245" t="s">
        <v>140</v>
      </c>
      <c r="B245" s="13" t="s">
        <v>7</v>
      </c>
      <c r="C245" s="1">
        <v>190825370633</v>
      </c>
      <c r="D245" t="s">
        <v>84</v>
      </c>
    </row>
    <row r="246" spans="1:14" x14ac:dyDescent="0.35">
      <c r="A246" t="s">
        <v>140</v>
      </c>
      <c r="B246" t="s">
        <v>26</v>
      </c>
      <c r="C246" s="1">
        <v>190825370438</v>
      </c>
    </row>
    <row r="247" spans="1:14" x14ac:dyDescent="0.35">
      <c r="A247" t="s">
        <v>140</v>
      </c>
      <c r="B247" s="13" t="s">
        <v>7</v>
      </c>
      <c r="C247" s="1">
        <v>190825370594</v>
      </c>
      <c r="L247" s="2"/>
      <c r="M247" s="2"/>
      <c r="N247" s="2"/>
    </row>
    <row r="248" spans="1:14" x14ac:dyDescent="0.35">
      <c r="A248" t="s">
        <v>141</v>
      </c>
      <c r="B248" t="s">
        <v>86</v>
      </c>
      <c r="C248" s="1">
        <v>190825410147</v>
      </c>
      <c r="G248" s="2"/>
      <c r="L248" s="16"/>
    </row>
    <row r="249" spans="1:14" x14ac:dyDescent="0.35">
      <c r="A249" t="s">
        <v>141</v>
      </c>
      <c r="B249" t="s">
        <v>12</v>
      </c>
      <c r="C249" s="1">
        <v>190825410265</v>
      </c>
      <c r="D249" t="s">
        <v>142</v>
      </c>
      <c r="L249" s="16"/>
    </row>
    <row r="250" spans="1:14" x14ac:dyDescent="0.35">
      <c r="A250" t="s">
        <v>141</v>
      </c>
      <c r="B250" t="s">
        <v>12</v>
      </c>
      <c r="C250" s="1">
        <v>190825370043</v>
      </c>
      <c r="D250" t="s">
        <v>143</v>
      </c>
      <c r="L250" s="16"/>
    </row>
    <row r="251" spans="1:14" x14ac:dyDescent="0.35">
      <c r="A251" t="s">
        <v>141</v>
      </c>
      <c r="B251" t="s">
        <v>12</v>
      </c>
      <c r="C251" s="15">
        <v>190825370441</v>
      </c>
      <c r="D251" s="13" t="s">
        <v>144</v>
      </c>
      <c r="L251" s="16"/>
    </row>
    <row r="252" spans="1:14" x14ac:dyDescent="0.35">
      <c r="A252" t="s">
        <v>145</v>
      </c>
      <c r="B252" t="s">
        <v>100</v>
      </c>
      <c r="C252" s="15">
        <v>190825410425</v>
      </c>
      <c r="L252" s="16"/>
    </row>
    <row r="253" spans="1:14" x14ac:dyDescent="0.35">
      <c r="A253" t="s">
        <v>145</v>
      </c>
      <c r="B253" t="s">
        <v>100</v>
      </c>
      <c r="C253" s="1">
        <v>190825410170</v>
      </c>
      <c r="L253" s="16"/>
    </row>
    <row r="254" spans="1:14" x14ac:dyDescent="0.35">
      <c r="A254" t="s">
        <v>145</v>
      </c>
      <c r="B254" t="s">
        <v>12</v>
      </c>
      <c r="C254" s="1">
        <v>190825410089</v>
      </c>
      <c r="L254" s="16"/>
    </row>
    <row r="255" spans="1:14" x14ac:dyDescent="0.35">
      <c r="A255" t="s">
        <v>145</v>
      </c>
      <c r="B255" t="s">
        <v>12</v>
      </c>
      <c r="C255" s="1">
        <v>190825410102</v>
      </c>
      <c r="L255" s="16"/>
    </row>
    <row r="256" spans="1:14" x14ac:dyDescent="0.35">
      <c r="A256" t="s">
        <v>146</v>
      </c>
      <c r="B256" t="s">
        <v>100</v>
      </c>
      <c r="C256" s="1">
        <v>190825410170</v>
      </c>
      <c r="D256" t="s">
        <v>147</v>
      </c>
      <c r="L256" s="16"/>
    </row>
    <row r="257" spans="1:12" x14ac:dyDescent="0.35">
      <c r="A257" t="s">
        <v>146</v>
      </c>
      <c r="B257" t="s">
        <v>12</v>
      </c>
      <c r="C257" s="1">
        <v>190825410089</v>
      </c>
      <c r="D257" s="13" t="s">
        <v>148</v>
      </c>
      <c r="L257" s="16"/>
    </row>
    <row r="258" spans="1:12" x14ac:dyDescent="0.35">
      <c r="A258" t="s">
        <v>146</v>
      </c>
      <c r="B258" t="s">
        <v>12</v>
      </c>
      <c r="C258" s="1">
        <v>190825410102</v>
      </c>
      <c r="D258" t="s">
        <v>149</v>
      </c>
      <c r="L258" s="16"/>
    </row>
    <row r="259" spans="1:12" x14ac:dyDescent="0.35">
      <c r="A259" t="s">
        <v>146</v>
      </c>
      <c r="B259" t="s">
        <v>100</v>
      </c>
      <c r="C259" s="1">
        <v>190825410425</v>
      </c>
      <c r="D259" t="s">
        <v>150</v>
      </c>
      <c r="L259" s="16"/>
    </row>
    <row r="260" spans="1:12" x14ac:dyDescent="0.35">
      <c r="A260" t="s">
        <v>151</v>
      </c>
      <c r="B260" t="s">
        <v>100</v>
      </c>
      <c r="C260" s="1">
        <v>190825410053</v>
      </c>
      <c r="D260" t="s">
        <v>152</v>
      </c>
      <c r="L260" s="16"/>
    </row>
    <row r="261" spans="1:12" x14ac:dyDescent="0.35">
      <c r="A261" t="s">
        <v>153</v>
      </c>
      <c r="B261" t="s">
        <v>12</v>
      </c>
      <c r="C261" s="1">
        <v>190825410310</v>
      </c>
      <c r="D261" t="s">
        <v>143</v>
      </c>
      <c r="L261" s="16"/>
    </row>
    <row r="262" spans="1:12" x14ac:dyDescent="0.35">
      <c r="A262" t="s">
        <v>153</v>
      </c>
      <c r="B262" t="s">
        <v>100</v>
      </c>
      <c r="C262" s="1">
        <v>190825410224</v>
      </c>
      <c r="D262" t="s">
        <v>154</v>
      </c>
      <c r="L262" s="16"/>
    </row>
    <row r="263" spans="1:12" x14ac:dyDescent="0.35">
      <c r="L263" s="16"/>
    </row>
    <row r="264" spans="1:12" x14ac:dyDescent="0.35">
      <c r="L264" s="16"/>
    </row>
    <row r="265" spans="1:12" x14ac:dyDescent="0.35">
      <c r="L265" s="16"/>
    </row>
    <row r="266" spans="1:12" x14ac:dyDescent="0.35">
      <c r="L266" s="16"/>
    </row>
    <row r="267" spans="1:12" x14ac:dyDescent="0.35">
      <c r="L267" s="16"/>
    </row>
    <row r="268" spans="1:12" x14ac:dyDescent="0.35">
      <c r="L268" s="16"/>
    </row>
    <row r="269" spans="1:12" x14ac:dyDescent="0.35">
      <c r="L269" s="16"/>
    </row>
    <row r="270" spans="1:12" x14ac:dyDescent="0.35">
      <c r="L270" s="16"/>
    </row>
    <row r="271" spans="1:12" x14ac:dyDescent="0.35">
      <c r="L271" s="16"/>
    </row>
    <row r="272" spans="1:12" x14ac:dyDescent="0.35">
      <c r="L272" s="16"/>
    </row>
    <row r="273" spans="12:14" x14ac:dyDescent="0.35">
      <c r="L273" s="16"/>
    </row>
    <row r="274" spans="12:14" x14ac:dyDescent="0.35">
      <c r="L274" s="16"/>
    </row>
    <row r="275" spans="12:14" x14ac:dyDescent="0.35">
      <c r="L275" s="16"/>
    </row>
    <row r="276" spans="12:14" x14ac:dyDescent="0.35">
      <c r="L276" s="16"/>
    </row>
    <row r="277" spans="12:14" x14ac:dyDescent="0.35">
      <c r="L277" s="16"/>
    </row>
    <row r="278" spans="12:14" x14ac:dyDescent="0.35">
      <c r="L278" s="16"/>
    </row>
    <row r="279" spans="12:14" x14ac:dyDescent="0.35">
      <c r="L279" s="16"/>
      <c r="N279" s="17"/>
    </row>
    <row r="280" spans="12:14" x14ac:dyDescent="0.35">
      <c r="L280" s="16"/>
      <c r="N280" s="17"/>
    </row>
    <row r="281" spans="12:14" x14ac:dyDescent="0.35">
      <c r="L281" s="16"/>
      <c r="N281" s="17"/>
    </row>
    <row r="282" spans="12:14" x14ac:dyDescent="0.35">
      <c r="L282" s="16"/>
      <c r="N282" s="17"/>
    </row>
    <row r="283" spans="12:14" x14ac:dyDescent="0.35">
      <c r="L283" s="16"/>
    </row>
    <row r="284" spans="12:14" x14ac:dyDescent="0.35">
      <c r="L284" s="16"/>
    </row>
    <row r="285" spans="12:14" x14ac:dyDescent="0.35">
      <c r="L285" s="16"/>
    </row>
    <row r="286" spans="12:14" x14ac:dyDescent="0.35">
      <c r="L286" s="16"/>
    </row>
    <row r="287" spans="12:14" x14ac:dyDescent="0.35">
      <c r="L287" s="16"/>
    </row>
    <row r="288" spans="12:14" x14ac:dyDescent="0.35">
      <c r="L288" s="16"/>
      <c r="N288" s="17"/>
    </row>
    <row r="289" spans="12:14" x14ac:dyDescent="0.35">
      <c r="L289" s="16"/>
      <c r="N289" s="17"/>
    </row>
    <row r="290" spans="12:14" x14ac:dyDescent="0.35">
      <c r="L290" s="16"/>
      <c r="N290" s="17"/>
    </row>
    <row r="291" spans="12:14" x14ac:dyDescent="0.35">
      <c r="L291" s="16"/>
      <c r="N291" s="17"/>
    </row>
    <row r="292" spans="12:14" x14ac:dyDescent="0.35">
      <c r="L292" s="16"/>
    </row>
    <row r="293" spans="12:14" x14ac:dyDescent="0.35">
      <c r="L293" s="16"/>
    </row>
    <row r="294" spans="12:14" x14ac:dyDescent="0.35">
      <c r="L294" s="16"/>
    </row>
    <row r="295" spans="12:14" x14ac:dyDescent="0.35">
      <c r="L295" s="16"/>
    </row>
    <row r="296" spans="12:14" x14ac:dyDescent="0.35">
      <c r="L296" s="16"/>
    </row>
    <row r="297" spans="12:14" x14ac:dyDescent="0.35">
      <c r="L297" s="16"/>
    </row>
    <row r="298" spans="12:14" x14ac:dyDescent="0.35">
      <c r="L298" s="16"/>
      <c r="N298" s="17"/>
    </row>
    <row r="299" spans="12:14" x14ac:dyDescent="0.35">
      <c r="L299" s="16"/>
    </row>
    <row r="300" spans="12:14" x14ac:dyDescent="0.35">
      <c r="L300" s="16"/>
    </row>
    <row r="301" spans="12:14" x14ac:dyDescent="0.35">
      <c r="L301" s="16"/>
    </row>
    <row r="302" spans="12:14" x14ac:dyDescent="0.35">
      <c r="L302" s="16"/>
    </row>
    <row r="303" spans="12:14" x14ac:dyDescent="0.35">
      <c r="L303" s="16"/>
      <c r="N303" s="17"/>
    </row>
    <row r="304" spans="12:14" x14ac:dyDescent="0.35">
      <c r="L304" s="16"/>
      <c r="N304" s="17"/>
    </row>
    <row r="305" spans="12:14" x14ac:dyDescent="0.35">
      <c r="L305" s="16"/>
      <c r="N305" s="17"/>
    </row>
    <row r="306" spans="12:14" x14ac:dyDescent="0.35">
      <c r="L306" s="16"/>
      <c r="N306" s="17"/>
    </row>
    <row r="307" spans="12:14" x14ac:dyDescent="0.35">
      <c r="L307" s="16"/>
    </row>
    <row r="308" spans="12:14" x14ac:dyDescent="0.35">
      <c r="L308" s="16"/>
      <c r="N308" s="17"/>
    </row>
    <row r="309" spans="12:14" x14ac:dyDescent="0.35">
      <c r="L309" s="16"/>
      <c r="N309" s="17"/>
    </row>
    <row r="310" spans="12:14" x14ac:dyDescent="0.35">
      <c r="L310" s="16"/>
    </row>
    <row r="311" spans="12:14" x14ac:dyDescent="0.35">
      <c r="L311" s="16"/>
      <c r="N311" s="17"/>
    </row>
    <row r="312" spans="12:14" x14ac:dyDescent="0.35">
      <c r="L312" s="16"/>
      <c r="N312" s="17"/>
    </row>
    <row r="313" spans="12:14" x14ac:dyDescent="0.35">
      <c r="L313" s="16"/>
      <c r="N313" s="17"/>
    </row>
    <row r="314" spans="12:14" x14ac:dyDescent="0.35">
      <c r="L314" s="16"/>
    </row>
    <row r="315" spans="12:14" x14ac:dyDescent="0.35">
      <c r="L315" s="16"/>
    </row>
    <row r="316" spans="12:14" x14ac:dyDescent="0.35">
      <c r="L316" s="16"/>
      <c r="N316" s="17"/>
    </row>
    <row r="317" spans="12:14" x14ac:dyDescent="0.35">
      <c r="L317" s="16"/>
      <c r="N317" s="17"/>
    </row>
    <row r="318" spans="12:14" x14ac:dyDescent="0.35">
      <c r="L318" s="16"/>
      <c r="N318" s="17"/>
    </row>
    <row r="319" spans="12:14" x14ac:dyDescent="0.35">
      <c r="L319" s="16"/>
      <c r="N319" s="17"/>
    </row>
    <row r="320" spans="12:14" x14ac:dyDescent="0.35">
      <c r="L320" s="16"/>
      <c r="N320" s="17"/>
    </row>
    <row r="321" spans="12:14" x14ac:dyDescent="0.35">
      <c r="L321" s="16"/>
    </row>
    <row r="322" spans="12:14" x14ac:dyDescent="0.35">
      <c r="L322" s="16"/>
    </row>
    <row r="323" spans="12:14" x14ac:dyDescent="0.35">
      <c r="L323" s="16"/>
    </row>
    <row r="324" spans="12:14" x14ac:dyDescent="0.35">
      <c r="L324" s="16"/>
      <c r="N324" s="17"/>
    </row>
    <row r="325" spans="12:14" x14ac:dyDescent="0.35">
      <c r="L325" s="16"/>
    </row>
    <row r="326" spans="12:14" x14ac:dyDescent="0.35">
      <c r="L326" s="16"/>
    </row>
    <row r="327" spans="12:14" x14ac:dyDescent="0.35">
      <c r="L327" s="16"/>
    </row>
    <row r="328" spans="12:14" x14ac:dyDescent="0.35">
      <c r="L328" s="16"/>
    </row>
    <row r="329" spans="12:14" x14ac:dyDescent="0.35">
      <c r="L329" s="16"/>
    </row>
    <row r="330" spans="12:14" x14ac:dyDescent="0.35">
      <c r="L330" s="16"/>
    </row>
    <row r="331" spans="12:14" x14ac:dyDescent="0.35">
      <c r="L331" s="16"/>
    </row>
    <row r="332" spans="12:14" x14ac:dyDescent="0.35">
      <c r="L332" s="16"/>
    </row>
    <row r="333" spans="12:14" x14ac:dyDescent="0.35">
      <c r="L333" s="16"/>
    </row>
    <row r="334" spans="12:14" x14ac:dyDescent="0.35">
      <c r="L334" s="16"/>
      <c r="N334" s="17"/>
    </row>
    <row r="335" spans="12:14" x14ac:dyDescent="0.35">
      <c r="L335" s="16"/>
      <c r="N335" s="17"/>
    </row>
    <row r="336" spans="12:14" x14ac:dyDescent="0.35">
      <c r="L336" s="16"/>
      <c r="N336" s="17"/>
    </row>
    <row r="337" spans="12:14" x14ac:dyDescent="0.35">
      <c r="L337" s="16"/>
      <c r="N337" s="17"/>
    </row>
    <row r="338" spans="12:14" x14ac:dyDescent="0.35">
      <c r="L338" s="16"/>
    </row>
    <row r="339" spans="12:14" x14ac:dyDescent="0.35">
      <c r="L339" s="16"/>
    </row>
    <row r="340" spans="12:14" x14ac:dyDescent="0.35">
      <c r="L340" s="16"/>
    </row>
    <row r="341" spans="12:14" x14ac:dyDescent="0.35">
      <c r="L341" s="16"/>
      <c r="N341" s="17"/>
    </row>
    <row r="342" spans="12:14" x14ac:dyDescent="0.35">
      <c r="L342" s="16"/>
      <c r="N342" s="17"/>
    </row>
    <row r="343" spans="12:14" x14ac:dyDescent="0.35">
      <c r="L343" s="16"/>
    </row>
    <row r="344" spans="12:14" x14ac:dyDescent="0.35">
      <c r="L344" s="16"/>
    </row>
    <row r="345" spans="12:14" x14ac:dyDescent="0.35">
      <c r="L345" s="16"/>
    </row>
    <row r="346" spans="12:14" x14ac:dyDescent="0.35">
      <c r="L346" s="16"/>
    </row>
    <row r="347" spans="12:14" x14ac:dyDescent="0.35">
      <c r="L347" s="16"/>
      <c r="N347" s="17"/>
    </row>
    <row r="348" spans="12:14" x14ac:dyDescent="0.35">
      <c r="L348" s="16"/>
      <c r="N348" s="17"/>
    </row>
    <row r="349" spans="12:14" x14ac:dyDescent="0.35">
      <c r="L349" s="16"/>
    </row>
    <row r="350" spans="12:14" x14ac:dyDescent="0.35">
      <c r="L350" s="16"/>
      <c r="N350" s="17"/>
    </row>
    <row r="351" spans="12:14" x14ac:dyDescent="0.35">
      <c r="L351" s="16"/>
    </row>
    <row r="352" spans="12:14" x14ac:dyDescent="0.35">
      <c r="L352" s="16"/>
      <c r="N352" s="17"/>
    </row>
    <row r="353" spans="12:14" x14ac:dyDescent="0.35">
      <c r="L353" s="16"/>
      <c r="N353" s="17"/>
    </row>
    <row r="354" spans="12:14" x14ac:dyDescent="0.35">
      <c r="L354" s="16"/>
      <c r="N354" s="17"/>
    </row>
    <row r="355" spans="12:14" x14ac:dyDescent="0.35">
      <c r="L355" s="16"/>
      <c r="N355" s="17"/>
    </row>
    <row r="356" spans="12:14" x14ac:dyDescent="0.35">
      <c r="L356" s="16"/>
      <c r="N356" s="17"/>
    </row>
    <row r="357" spans="12:14" x14ac:dyDescent="0.35">
      <c r="L357" s="16"/>
    </row>
    <row r="358" spans="12:14" x14ac:dyDescent="0.35">
      <c r="L358" s="16"/>
      <c r="N358" s="17"/>
    </row>
    <row r="359" spans="12:14" x14ac:dyDescent="0.35">
      <c r="L359" s="16"/>
    </row>
    <row r="360" spans="12:14" x14ac:dyDescent="0.35">
      <c r="L360" s="16"/>
    </row>
    <row r="361" spans="12:14" x14ac:dyDescent="0.35">
      <c r="L361" s="16"/>
    </row>
    <row r="362" spans="12:14" x14ac:dyDescent="0.35">
      <c r="L362" s="16"/>
    </row>
    <row r="363" spans="12:14" x14ac:dyDescent="0.35">
      <c r="L363" s="16"/>
    </row>
    <row r="364" spans="12:14" x14ac:dyDescent="0.35">
      <c r="L364" s="16"/>
    </row>
    <row r="365" spans="12:14" x14ac:dyDescent="0.35">
      <c r="L365" s="16"/>
    </row>
    <row r="366" spans="12:14" x14ac:dyDescent="0.35">
      <c r="L366" s="16"/>
    </row>
    <row r="367" spans="12:14" x14ac:dyDescent="0.35">
      <c r="L367" s="16"/>
    </row>
    <row r="368" spans="12:14" x14ac:dyDescent="0.35">
      <c r="L368" s="16"/>
    </row>
    <row r="369" spans="12:12" x14ac:dyDescent="0.35">
      <c r="L369" s="16"/>
    </row>
    <row r="370" spans="12:12" x14ac:dyDescent="0.35">
      <c r="L370" s="16"/>
    </row>
    <row r="371" spans="12:12" x14ac:dyDescent="0.35">
      <c r="L371" s="16"/>
    </row>
    <row r="372" spans="12:12" x14ac:dyDescent="0.35">
      <c r="L372" s="16"/>
    </row>
    <row r="373" spans="12:12" x14ac:dyDescent="0.35">
      <c r="L373" s="16"/>
    </row>
    <row r="374" spans="12:12" x14ac:dyDescent="0.35">
      <c r="L374" s="16"/>
    </row>
    <row r="375" spans="12:12" x14ac:dyDescent="0.35">
      <c r="L375" s="16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D718-F59A-4227-972B-4362668A6A3D}">
  <dimension ref="A1:J16"/>
  <sheetViews>
    <sheetView workbookViewId="0">
      <selection activeCell="E23" sqref="E23"/>
    </sheetView>
  </sheetViews>
  <sheetFormatPr defaultRowHeight="14.5" x14ac:dyDescent="0.35"/>
  <cols>
    <col min="1" max="1" width="36.54296875" bestFit="1" customWidth="1"/>
    <col min="2" max="3" width="29.7265625" bestFit="1" customWidth="1"/>
    <col min="4" max="5" width="30.7265625" bestFit="1" customWidth="1"/>
    <col min="6" max="6" width="9.36328125" bestFit="1" customWidth="1"/>
    <col min="7" max="7" width="32.36328125" bestFit="1" customWidth="1"/>
    <col min="8" max="8" width="14.1796875" bestFit="1" customWidth="1"/>
    <col min="9" max="9" width="14.26953125" bestFit="1" customWidth="1"/>
    <col min="10" max="10" width="27.7265625" bestFit="1" customWidth="1"/>
  </cols>
  <sheetData>
    <row r="1" spans="1:10" x14ac:dyDescent="0.35">
      <c r="A1" t="s">
        <v>45</v>
      </c>
      <c r="B1" t="s">
        <v>7</v>
      </c>
      <c r="C1" t="s">
        <v>9</v>
      </c>
      <c r="D1" t="s">
        <v>33</v>
      </c>
      <c r="E1" t="s">
        <v>4</v>
      </c>
      <c r="F1" t="s">
        <v>28</v>
      </c>
      <c r="G1" t="s">
        <v>39</v>
      </c>
      <c r="H1" t="s">
        <v>11</v>
      </c>
      <c r="I1" t="s">
        <v>12</v>
      </c>
      <c r="J1" t="s">
        <v>26</v>
      </c>
    </row>
    <row r="2" spans="1:10" x14ac:dyDescent="0.35">
      <c r="A2" s="4" t="s">
        <v>44</v>
      </c>
      <c r="B2">
        <v>2</v>
      </c>
      <c r="C2">
        <v>2</v>
      </c>
      <c r="E2">
        <v>1</v>
      </c>
      <c r="H2">
        <v>5</v>
      </c>
    </row>
    <row r="3" spans="1:10" x14ac:dyDescent="0.35">
      <c r="A3" s="4" t="s">
        <v>43</v>
      </c>
      <c r="C3">
        <v>1</v>
      </c>
      <c r="E3">
        <v>1</v>
      </c>
      <c r="H3">
        <v>1</v>
      </c>
      <c r="I3">
        <v>1</v>
      </c>
      <c r="J3">
        <v>1</v>
      </c>
    </row>
    <row r="4" spans="1:10" x14ac:dyDescent="0.35">
      <c r="A4" s="4" t="s">
        <v>42</v>
      </c>
      <c r="B4">
        <v>2</v>
      </c>
      <c r="C4">
        <v>17</v>
      </c>
      <c r="D4">
        <v>1</v>
      </c>
      <c r="E4">
        <v>1</v>
      </c>
      <c r="F4">
        <v>5</v>
      </c>
      <c r="G4">
        <v>3</v>
      </c>
      <c r="I4">
        <v>13</v>
      </c>
      <c r="J4">
        <v>5</v>
      </c>
    </row>
    <row r="5" spans="1:10" x14ac:dyDescent="0.35">
      <c r="A5" s="6" t="s">
        <v>48</v>
      </c>
      <c r="B5">
        <f>SUM(B2:B4)</f>
        <v>4</v>
      </c>
      <c r="C5">
        <f t="shared" ref="C5:J5" si="0">SUM(C2:C4)</f>
        <v>20</v>
      </c>
      <c r="D5">
        <f t="shared" si="0"/>
        <v>1</v>
      </c>
      <c r="E5">
        <f t="shared" si="0"/>
        <v>3</v>
      </c>
      <c r="F5">
        <f t="shared" si="0"/>
        <v>5</v>
      </c>
      <c r="G5">
        <f t="shared" si="0"/>
        <v>3</v>
      </c>
      <c r="H5">
        <f t="shared" si="0"/>
        <v>6</v>
      </c>
      <c r="I5">
        <f t="shared" si="0"/>
        <v>14</v>
      </c>
      <c r="J5">
        <f t="shared" si="0"/>
        <v>6</v>
      </c>
    </row>
    <row r="6" spans="1:10" x14ac:dyDescent="0.35">
      <c r="A6" s="4"/>
    </row>
    <row r="7" spans="1:10" x14ac:dyDescent="0.35">
      <c r="A7" s="4"/>
    </row>
    <row r="8" spans="1:10" x14ac:dyDescent="0.35">
      <c r="A8" s="4" t="s">
        <v>47</v>
      </c>
      <c r="B8">
        <f>B5+D5+F5+H5+I5+J5</f>
        <v>36</v>
      </c>
    </row>
    <row r="9" spans="1:10" x14ac:dyDescent="0.35">
      <c r="A9" s="4" t="s">
        <v>51</v>
      </c>
      <c r="B9">
        <f>C5+E5</f>
        <v>23</v>
      </c>
    </row>
    <row r="10" spans="1:10" x14ac:dyDescent="0.35">
      <c r="A10" s="4" t="s">
        <v>52</v>
      </c>
      <c r="B10">
        <f>G5</f>
        <v>3</v>
      </c>
    </row>
    <row r="15" spans="1:10" x14ac:dyDescent="0.35">
      <c r="B15" t="s">
        <v>77</v>
      </c>
      <c r="C15" t="s">
        <v>78</v>
      </c>
      <c r="D15" t="s">
        <v>84</v>
      </c>
      <c r="E15" t="s">
        <v>60</v>
      </c>
    </row>
    <row r="16" spans="1:10" x14ac:dyDescent="0.35">
      <c r="A16" t="s">
        <v>83</v>
      </c>
      <c r="B16">
        <v>10</v>
      </c>
      <c r="C16">
        <v>9</v>
      </c>
      <c r="D16">
        <v>7</v>
      </c>
      <c r="E1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8ACF-4284-4964-8963-9941271A414E}">
  <dimension ref="A1:L10"/>
  <sheetViews>
    <sheetView workbookViewId="0">
      <selection activeCell="B19" sqref="B19"/>
    </sheetView>
  </sheetViews>
  <sheetFormatPr defaultRowHeight="14.5" x14ac:dyDescent="0.35"/>
  <cols>
    <col min="1" max="1" width="38" customWidth="1"/>
    <col min="2" max="3" width="29.7265625" bestFit="1" customWidth="1"/>
    <col min="4" max="5" width="30.7265625" bestFit="1" customWidth="1"/>
    <col min="6" max="6" width="9.36328125" bestFit="1" customWidth="1"/>
    <col min="7" max="7" width="32.36328125" bestFit="1" customWidth="1"/>
    <col min="8" max="8" width="14.1796875" bestFit="1" customWidth="1"/>
    <col min="9" max="9" width="14.26953125" bestFit="1" customWidth="1"/>
    <col min="10" max="10" width="27.7265625" bestFit="1" customWidth="1"/>
    <col min="12" max="12" width="11.90625" customWidth="1"/>
  </cols>
  <sheetData>
    <row r="1" spans="1:12" x14ac:dyDescent="0.35">
      <c r="A1" t="s">
        <v>45</v>
      </c>
      <c r="B1" t="s">
        <v>7</v>
      </c>
      <c r="C1" t="s">
        <v>9</v>
      </c>
      <c r="D1" t="s">
        <v>33</v>
      </c>
      <c r="E1" t="s">
        <v>4</v>
      </c>
      <c r="F1" t="s">
        <v>28</v>
      </c>
      <c r="G1" t="s">
        <v>39</v>
      </c>
      <c r="H1" t="s">
        <v>11</v>
      </c>
      <c r="I1" t="s">
        <v>12</v>
      </c>
      <c r="J1" s="5" t="s">
        <v>26</v>
      </c>
      <c r="K1" s="2"/>
      <c r="L1" t="s">
        <v>46</v>
      </c>
    </row>
    <row r="2" spans="1:12" x14ac:dyDescent="0.35">
      <c r="A2" s="4" t="s">
        <v>44</v>
      </c>
      <c r="B2">
        <f>failure_mode_incidence_counts!B2/$L2*100</f>
        <v>0.61919504643962853</v>
      </c>
      <c r="C2">
        <f>failure_mode_incidence_counts!C2/$L2*100</f>
        <v>0.61919504643962853</v>
      </c>
      <c r="D2">
        <f>failure_mode_incidence_counts!D2/$L2*100</f>
        <v>0</v>
      </c>
      <c r="E2">
        <f>failure_mode_incidence_counts!E2/$L2*100</f>
        <v>0.30959752321981426</v>
      </c>
      <c r="F2">
        <f>failure_mode_incidence_counts!F2/$L2*100</f>
        <v>0</v>
      </c>
      <c r="G2">
        <f>failure_mode_incidence_counts!G2/$L2*100</f>
        <v>0</v>
      </c>
      <c r="H2">
        <f>failure_mode_incidence_counts!H2/$L2*100</f>
        <v>1.5479876160990713</v>
      </c>
      <c r="I2">
        <f>failure_mode_incidence_counts!I2/$L2*100</f>
        <v>0</v>
      </c>
      <c r="J2">
        <f>failure_mode_incidence_counts!J2/$L2*100</f>
        <v>0</v>
      </c>
      <c r="L2">
        <v>323</v>
      </c>
    </row>
    <row r="3" spans="1:12" x14ac:dyDescent="0.35">
      <c r="A3" s="4" t="s">
        <v>43</v>
      </c>
      <c r="B3">
        <f>failure_mode_incidence_counts!B3/$L3*100</f>
        <v>0</v>
      </c>
      <c r="C3">
        <f>failure_mode_incidence_counts!C3/$L3*100</f>
        <v>0.68493150684931503</v>
      </c>
      <c r="D3">
        <f>failure_mode_incidence_counts!D3/$L3*100</f>
        <v>0</v>
      </c>
      <c r="E3">
        <f>failure_mode_incidence_counts!E3/$L3*100</f>
        <v>0.68493150684931503</v>
      </c>
      <c r="F3">
        <f>failure_mode_incidence_counts!F3/$L3*100</f>
        <v>0</v>
      </c>
      <c r="G3">
        <f>failure_mode_incidence_counts!G3/$L3*100</f>
        <v>0</v>
      </c>
      <c r="H3">
        <f>failure_mode_incidence_counts!H3/$L3*100</f>
        <v>0.68493150684931503</v>
      </c>
      <c r="I3">
        <f>failure_mode_incidence_counts!I3/$L3*100</f>
        <v>0.68493150684931503</v>
      </c>
      <c r="J3">
        <f>failure_mode_incidence_counts!J3/$L3*100</f>
        <v>0.68493150684931503</v>
      </c>
      <c r="L3">
        <v>146</v>
      </c>
    </row>
    <row r="4" spans="1:12" x14ac:dyDescent="0.35">
      <c r="A4" s="4" t="s">
        <v>42</v>
      </c>
      <c r="B4">
        <f>failure_mode_incidence_counts!B4/$L4*100</f>
        <v>0.20597322348094746</v>
      </c>
      <c r="C4">
        <f>failure_mode_incidence_counts!C4/$L4*100</f>
        <v>1.7507723995880538</v>
      </c>
      <c r="D4">
        <f>failure_mode_incidence_counts!D4/$L4*100</f>
        <v>0.10298661174047373</v>
      </c>
      <c r="E4">
        <f>failure_mode_incidence_counts!E4/$L4*100</f>
        <v>0.10298661174047373</v>
      </c>
      <c r="F4">
        <f>failure_mode_incidence_counts!F4/$L4*100</f>
        <v>0.51493305870236872</v>
      </c>
      <c r="G4">
        <f>failure_mode_incidence_counts!G4/$L4*100</f>
        <v>0.30895983522142123</v>
      </c>
      <c r="H4">
        <f>failure_mode_incidence_counts!H4/$L4*100</f>
        <v>0</v>
      </c>
      <c r="I4">
        <f>failure_mode_incidence_counts!I4/$L4*100</f>
        <v>1.3388259526261586</v>
      </c>
      <c r="J4">
        <f>failure_mode_incidence_counts!J4/$L4*100</f>
        <v>0.51493305870236872</v>
      </c>
      <c r="L4">
        <v>971</v>
      </c>
    </row>
    <row r="7" spans="1:12" ht="15" thickBot="1" x14ac:dyDescent="0.4">
      <c r="A7" s="11" t="s">
        <v>50</v>
      </c>
      <c r="B7" s="12" t="s">
        <v>49</v>
      </c>
    </row>
    <row r="8" spans="1:12" x14ac:dyDescent="0.35">
      <c r="A8" s="9" t="s">
        <v>53</v>
      </c>
      <c r="B8" s="10">
        <f>failure_mode_incidence_counts!B8/SUM(L2:L4)*100</f>
        <v>2.5</v>
      </c>
    </row>
    <row r="9" spans="1:12" x14ac:dyDescent="0.35">
      <c r="A9" s="7" t="s">
        <v>51</v>
      </c>
      <c r="B9" s="8">
        <f>failure_mode_incidence_counts!B9/SUM(L2:L4)*100</f>
        <v>1.5972222222222221</v>
      </c>
    </row>
    <row r="10" spans="1:12" x14ac:dyDescent="0.35">
      <c r="A10" s="7" t="s">
        <v>52</v>
      </c>
      <c r="B10" s="8">
        <f>failure_mode_incidence_counts!B10/SUM(L2:L4)*100</f>
        <v>0.20833333333333334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Plots</vt:lpstr>
      <vt:lpstr>Failures</vt:lpstr>
      <vt:lpstr>failure_mode_incidence_counts</vt:lpstr>
      <vt:lpstr>failure_mode_percentages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Kulin</dc:creator>
  <cp:lastModifiedBy>Thomas Kulin</cp:lastModifiedBy>
  <dcterms:created xsi:type="dcterms:W3CDTF">2025-07-29T15:57:21Z</dcterms:created>
  <dcterms:modified xsi:type="dcterms:W3CDTF">2025-11-11T14:01:48Z</dcterms:modified>
</cp:coreProperties>
</file>